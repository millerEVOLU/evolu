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nel" sheetId="1" state="visible" r:id="rId3"/>
    <sheet name="Landings" sheetId="2" state="visible" r:id="rId4"/>
    <sheet name="Productos" sheetId="3" state="visible" r:id="rId5"/>
    <sheet name="Competencia" sheetId="4" state="visible" r:id="rId6"/>
    <sheet name="Finalistas" sheetId="5" state="visible" r:id="rId7"/>
    <sheet name="Margen" sheetId="6" state="visible" r:id="rId8"/>
    <sheet name="Guía" sheetId="7" state="visible" r:id="rId9"/>
    <sheet name="Listas" sheetId="8" state="visible" r:id="rId10"/>
  </sheets>
  <definedNames>
    <definedName function="false" hidden="true" localSheetId="3" name="_xlnm._FilterDatabase" vbProcedure="false">Competencia!$B$6:$J$606</definedName>
    <definedName function="false" hidden="true" localSheetId="1" name="_xlnm._FilterDatabase" vbProcedure="false">Landings!$B$6:$N$306</definedName>
    <definedName function="false" hidden="true" localSheetId="2" name="_xlnm._FilterDatabase" vbProcedure="false">Productos!$B$6:$M$406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<sst xmlns="http://schemas.openxmlformats.org/spreadsheetml/2006/main" count="178" uniqueCount="160">
  <si>
    <t xml:space="preserve">Panel de control</t>
  </si>
  <si>
    <t xml:space="preserve">Resumen del banco. Todo se calcula solo con lo que cargues en las otras hojas.</t>
  </si>
  <si>
    <t xml:space="preserve">Landings registradas</t>
  </si>
  <si>
    <t xml:space="preserve">Landings dejadas (+600 productos)</t>
  </si>
  <si>
    <t xml:space="preserve">Landings analizando</t>
  </si>
  <si>
    <t xml:space="preserve">Productos revisados</t>
  </si>
  <si>
    <t xml:space="preserve">Productos de -10 meses</t>
  </si>
  <si>
    <t xml:space="preserve">Productos en Dropi</t>
  </si>
  <si>
    <t xml:space="preserve">Competidores registrados</t>
  </si>
  <si>
    <t xml:space="preserve">Competidores que sí cuentan</t>
  </si>
  <si>
    <t xml:space="preserve">Competidores que no cuentan</t>
  </si>
  <si>
    <t xml:space="preserve">Finalistas en VALIDAR</t>
  </si>
  <si>
    <t xml:space="preserve">Finalistas en OBSERVAR</t>
  </si>
  <si>
    <t xml:space="preserve">Finalistas descartados</t>
  </si>
  <si>
    <t xml:space="preserve">Este archivo es un modelo vacío: borra las filas marcadas como ejemplo antes de empezar.</t>
  </si>
  <si>
    <t xml:space="preserve">Banco de landings ganadoras</t>
  </si>
  <si>
    <t xml:space="preserve">Tiendas con más de 600 productos y productos de menos de 10 meses. Una fila por landing.</t>
  </si>
  <si>
    <t xml:space="preserve">ID</t>
  </si>
  <si>
    <t xml:space="preserve">Fecha</t>
  </si>
  <si>
    <t xml:space="preserve">Landing / tienda (URL)</t>
  </si>
  <si>
    <t xml:space="preserve">País</t>
  </si>
  <si>
    <t xml:space="preserve">N.º productos tienda</t>
  </si>
  <si>
    <t xml:space="preserve">¿Más de 600?</t>
  </si>
  <si>
    <t xml:space="preserve">Dolor / nicho</t>
  </si>
  <si>
    <t xml:space="preserve">Anuncio (enlace Biblioteca)</t>
  </si>
  <si>
    <t xml:space="preserve">Impresiones</t>
  </si>
  <si>
    <t xml:space="preserve">Activo desde</t>
  </si>
  <si>
    <t xml:space="preserve">Estado</t>
  </si>
  <si>
    <t xml:space="preserve">Productos revisados en PPSPY</t>
  </si>
  <si>
    <t xml:space="preserve">Notas</t>
  </si>
  <si>
    <t xml:space="preserve">tienda-ejemplo.com (EJEMPLO, borrar)</t>
  </si>
  <si>
    <t xml:space="preserve">Estados Unidos</t>
  </si>
  <si>
    <t xml:space="preserve">Dolor de espalda</t>
  </si>
  <si>
    <t xml:space="preserve">https://www.facebook.com/ads/library/?id=0</t>
  </si>
  <si>
    <t xml:space="preserve">Analizando</t>
  </si>
  <si>
    <t xml:space="preserve">Fila de ejemplo</t>
  </si>
  <si>
    <t xml:space="preserve">Best winners por landing (PPSPY)</t>
  </si>
  <si>
    <t xml:space="preserve">Unos 20 productos por landing. Al final quedan uno o dos que pasan los filtros.</t>
  </si>
  <si>
    <t xml:space="preserve">Landing (ID)</t>
  </si>
  <si>
    <t xml:space="preserve">Producto</t>
  </si>
  <si>
    <t xml:space="preserve">Enlace producto / anuncio</t>
  </si>
  <si>
    <t xml:space="preserve">Precio venta (USD)</t>
  </si>
  <si>
    <t xml:space="preserve">Ventas est. PPSPY</t>
  </si>
  <si>
    <t xml:space="preserve">Lanzado hace (meses)</t>
  </si>
  <si>
    <t xml:space="preserve">¿Menos de 10 meses?</t>
  </si>
  <si>
    <t xml:space="preserve">¿En Dropi?</t>
  </si>
  <si>
    <t xml:space="preserve">Competidores válidos</t>
  </si>
  <si>
    <t xml:space="preserve">Decisión</t>
  </si>
  <si>
    <t xml:space="preserve">L-001</t>
  </si>
  <si>
    <t xml:space="preserve">Producto de ejemplo (borrar)</t>
  </si>
  <si>
    <t xml:space="preserve">Sí</t>
  </si>
  <si>
    <t xml:space="preserve">Pendiente</t>
  </si>
  <si>
    <t xml:space="preserve">Análisis de competencia</t>
  </si>
  <si>
    <t xml:space="preserve">Solo cuentan los competidores con landing activa. WhatsApp y landings apagadas no compiten.</t>
  </si>
  <si>
    <t xml:space="preserve">Producto (ID)</t>
  </si>
  <si>
    <t xml:space="preserve">Competidor (URL)</t>
  </si>
  <si>
    <t xml:space="preserve">Tipo</t>
  </si>
  <si>
    <t xml:space="preserve">Anuncios activos</t>
  </si>
  <si>
    <t xml:space="preserve">¿Cuenta?</t>
  </si>
  <si>
    <t xml:space="preserve">Ángulo que usa</t>
  </si>
  <si>
    <t xml:space="preserve">Precio (COP)</t>
  </si>
  <si>
    <t xml:space="preserve">P-001</t>
  </si>
  <si>
    <t xml:space="preserve">competidor-ejemplo.co (EJEMPLO, borrar)</t>
  </si>
  <si>
    <t xml:space="preserve">Landing</t>
  </si>
  <si>
    <t xml:space="preserve">Colombia</t>
  </si>
  <si>
    <t xml:space="preserve">Alivio rápido en casa</t>
  </si>
  <si>
    <t xml:space="preserve">Filtros de los finalistas</t>
  </si>
  <si>
    <t xml:space="preserve">Se llenan solo con los productos que quedaron del banco. Con 8 de 8 en Sí, el producto se valida.</t>
  </si>
  <si>
    <t xml:space="preserve">Landing +600 productos</t>
  </si>
  <si>
    <t xml:space="preserve">Producto -10 meses</t>
  </si>
  <si>
    <t xml:space="preserve">En Dropi</t>
  </si>
  <si>
    <t xml:space="preserve">Ángulo propio distinto</t>
  </si>
  <si>
    <t xml:space="preserve">Margen neto 75% ≥ 25%</t>
  </si>
  <si>
    <t xml:space="preserve">Sin réplica, frágil ni salud</t>
  </si>
  <si>
    <t xml:space="preserve">Fuera de retail o diferenciado</t>
  </si>
  <si>
    <t xml:space="preserve">Filtros en Sí (de 8)</t>
  </si>
  <si>
    <t xml:space="preserve">Veredicto</t>
  </si>
  <si>
    <t xml:space="preserve">Ángulo de venta / notas</t>
  </si>
  <si>
    <t xml:space="preserve">Calculadora de margen contra entrega</t>
  </si>
  <si>
    <t xml:space="preserve">Por cada 100 pedidos despachados. Las celdas en azul son entradas; los valores de abajo son estimaciones de mercado, cámbialos por tus datos reales.</t>
  </si>
  <si>
    <t xml:space="preserve">ENTRADAS</t>
  </si>
  <si>
    <t xml:space="preserve">Precio de venta (COP)</t>
  </si>
  <si>
    <t xml:space="preserve">Rango viable 60.000 a 150.000</t>
  </si>
  <si>
    <t xml:space="preserve">Costo del producto (COP)</t>
  </si>
  <si>
    <t xml:space="preserve">Precio Dropi</t>
  </si>
  <si>
    <t xml:space="preserve">Flete de ida (COP)</t>
  </si>
  <si>
    <t xml:space="preserve">Estimación 10.000 a 25.000</t>
  </si>
  <si>
    <t xml:space="preserve">Flete de devolución (COP)</t>
  </si>
  <si>
    <t xml:space="preserve">Estimación</t>
  </si>
  <si>
    <t xml:space="preserve">CPA publicidad por pedido (COP)</t>
  </si>
  <si>
    <t xml:space="preserve">Estimación LatAm 15.000 a 30.000</t>
  </si>
  <si>
    <t xml:space="preserve">Comisión plataforma</t>
  </si>
  <si>
    <t xml:space="preserve">Estimación 3% a 7%</t>
  </si>
  <si>
    <t xml:space="preserve">RESULTADO POR 100 PEDIDOS</t>
  </si>
  <si>
    <t xml:space="preserve">Tasa de efectividad</t>
  </si>
  <si>
    <t xml:space="preserve">Entregados</t>
  </si>
  <si>
    <t xml:space="preserve">Ingreso</t>
  </si>
  <si>
    <t xml:space="preserve">Costo producto</t>
  </si>
  <si>
    <t xml:space="preserve">Flete de ida</t>
  </si>
  <si>
    <t xml:space="preserve">Flete devolución</t>
  </si>
  <si>
    <t xml:space="preserve">Publicidad</t>
  </si>
  <si>
    <t xml:space="preserve">Comisión</t>
  </si>
  <si>
    <t xml:space="preserve">Utilidad</t>
  </si>
  <si>
    <t xml:space="preserve">Margen neto</t>
  </si>
  <si>
    <t xml:space="preserve">Utilidad por pedido</t>
  </si>
  <si>
    <t xml:space="preserve">Veredicto margen</t>
  </si>
  <si>
    <t xml:space="preserve">Regla: margen neto a 75% de efectividad por debajo de 25% se descarta. Precio por debajo de 50.000 COP también.</t>
  </si>
  <si>
    <t xml:space="preserve">Guía del método</t>
  </si>
  <si>
    <t xml:space="preserve">Método de búsqueda por mercado internacional</t>
  </si>
  <si>
    <t xml:space="preserve">PASO 1</t>
  </si>
  <si>
    <t xml:space="preserve">Biblioteca de Anuncios de Meta: todos los países, todos los anuncios, ordenar por impresiones. Buscar por puntos de dolor.</t>
  </si>
  <si>
    <t xml:space="preserve">PASO 2</t>
  </si>
  <si>
    <t xml:space="preserve">Aplicar los filtros a la página: más de 600 productos y productos lanzados hace menos de 10 meses que posiblemente estén en Dropi. Si cumple, se deja la landing en la hoja Landings y se sigue buscando más.</t>
  </si>
  <si>
    <t xml:space="preserve">PASO 3</t>
  </si>
  <si>
    <t xml:space="preserve">En PPSPY, sacar unos 20 best winners de cada página y registrarlos en la hoja Productos.</t>
  </si>
  <si>
    <t xml:space="preserve">PASO 4</t>
  </si>
  <si>
    <t xml:space="preserve">Revisar a fondo la competencia en la hoja Competencia. Contar solo landings activas. WhatsApp y landings apagadas no compiten. Revisar varias veces, no quedarse con la primera búsqueda.</t>
  </si>
  <si>
    <t xml:space="preserve">PASO 5</t>
  </si>
  <si>
    <t xml:space="preserve">Buscar el producto en Dropi. Si no está, buscar otro que resuelva el mismo dolor.</t>
  </si>
  <si>
    <t xml:space="preserve">PASO 6</t>
  </si>
  <si>
    <t xml:space="preserve">Pasar los mejores por la hoja Finalistas y calcular el margen en la hoja Margen. Dejar uno o dos que pasen todo.</t>
  </si>
  <si>
    <t xml:space="preserve">REGLA</t>
  </si>
  <si>
    <t xml:space="preserve">Hasta 5 competidores no descartan el producto si se vende con otro ángulo.</t>
  </si>
  <si>
    <t xml:space="preserve">Creativo bueno: buenas impresiones, no de los más recientes, con la página desplegando inversión.</t>
  </si>
  <si>
    <t xml:space="preserve">Tiendas buenas: las de Shanghái son muy buenas. Abrirse a más países.</t>
  </si>
  <si>
    <t xml:space="preserve">PAÍSES</t>
  </si>
  <si>
    <t xml:space="preserve">Estados Unidos, Brasil, México, Perú, Chile, Argentina, Ecuador, España, Shanghái / China, Reino Unido, Alemania, Francia, Italia, Canadá, Australia, Emiratos Árabes, Turquía, Polonia.</t>
  </si>
  <si>
    <t xml:space="preserve">DOLORES</t>
  </si>
  <si>
    <t xml:space="preserve">Acné, artritis, pantallas y niños, dolor de espalda, dolor de rodillas, varices, hongos en las uñas, caída del cabello, manchas en la piel, arrugas, ronquidos, mal aliento, sarro dental, mala postura, insomnio, estrés, celulitis, grasa abdominal, juanetes, talones agrietados, pies cansados, hernias, hemorroides, plagas, humedad y moho, olores en casa, orden en cocina, mascotas con pelo en todo, limpieza de auto, jardín con maleza.</t>
  </si>
  <si>
    <t xml:space="preserve">NOTA</t>
  </si>
  <si>
    <t xml:space="preserve">Este método se usa para descubrir. Las promesas de salud no se pueden usar en anuncios: se vende el alivio o la comodidad, no la cura.</t>
  </si>
  <si>
    <t xml:space="preserve">Estado landing</t>
  </si>
  <si>
    <t xml:space="preserve">Sí / No</t>
  </si>
  <si>
    <t xml:space="preserve">Tipo competidor</t>
  </si>
  <si>
    <t xml:space="preserve">Decisión producto</t>
  </si>
  <si>
    <t xml:space="preserve">Dejada</t>
  </si>
  <si>
    <t xml:space="preserve">No</t>
  </si>
  <si>
    <t xml:space="preserve">WhatsApp</t>
  </si>
  <si>
    <t xml:space="preserve">Pasó</t>
  </si>
  <si>
    <t xml:space="preserve">Descartada</t>
  </si>
  <si>
    <t xml:space="preserve">Apagado</t>
  </si>
  <si>
    <t xml:space="preserve">Descartado</t>
  </si>
  <si>
    <t xml:space="preserve">Brasil</t>
  </si>
  <si>
    <t xml:space="preserve">México</t>
  </si>
  <si>
    <t xml:space="preserve">Perú</t>
  </si>
  <si>
    <t xml:space="preserve">Chile</t>
  </si>
  <si>
    <t xml:space="preserve">Argentina</t>
  </si>
  <si>
    <t xml:space="preserve">Ecuador</t>
  </si>
  <si>
    <t xml:space="preserve">España</t>
  </si>
  <si>
    <t xml:space="preserve">Shanghái / China</t>
  </si>
  <si>
    <t xml:space="preserve">Reino Unido</t>
  </si>
  <si>
    <t xml:space="preserve">Alemania</t>
  </si>
  <si>
    <t xml:space="preserve">Francia</t>
  </si>
  <si>
    <t xml:space="preserve">Italia</t>
  </si>
  <si>
    <t xml:space="preserve">Canadá</t>
  </si>
  <si>
    <t xml:space="preserve">Australia</t>
  </si>
  <si>
    <t xml:space="preserve">Emiratos Árabes</t>
  </si>
  <si>
    <t xml:space="preserve">Turquía</t>
  </si>
  <si>
    <t xml:space="preserve">Polonia</t>
  </si>
  <si>
    <t xml:space="preserve">Otro</t>
  </si>
</sst>
</file>

<file path=xl/styles.xml><?xml version="1.0" encoding="utf-8"?>
<styleSheet xmlns="http://schemas.openxmlformats.org/spreadsheetml/2006/main">
  <numFmts count="12">
    <numFmt numFmtId="164" formatCode="General"/>
    <numFmt numFmtId="165" formatCode="General"/>
    <numFmt numFmtId="166" formatCode="dd/mm/yyyy"/>
    <numFmt numFmtId="167" formatCode="#,##0"/>
    <numFmt numFmtId="168" formatCode="\$#,##0.00"/>
    <numFmt numFmtId="169" formatCode="\$#,##0"/>
    <numFmt numFmtId="170" formatCode="0"/>
    <numFmt numFmtId="171" formatCode="0.0%"/>
    <numFmt numFmtId="172" formatCode="0%"/>
    <numFmt numFmtId="173" formatCode="#,##0;[RED]\-#,##0"/>
    <numFmt numFmtId="174" formatCode="0.0%;[RED]\-0.0%"/>
    <numFmt numFmtId="175" formatCode="@"/>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9"/>
      <color rgb="FF9A9A9A"/>
      <name val="Arial"/>
      <family val="0"/>
      <charset val="1"/>
    </font>
    <font>
      <b val="true"/>
      <sz val="22"/>
      <color rgb="FF2EC4B6"/>
      <name val="Arial"/>
      <family val="0"/>
      <charset val="1"/>
    </font>
    <font>
      <b val="true"/>
      <sz val="10"/>
      <color rgb="FF000000"/>
      <name val="Arial"/>
      <family val="0"/>
      <charset val="1"/>
    </font>
    <font>
      <b val="true"/>
      <sz val="10"/>
      <color rgb="FF2EC4B6"/>
      <name val="Arial"/>
      <family val="0"/>
      <charset val="1"/>
    </font>
    <font>
      <sz val="10"/>
      <color rgb="FF7FDBFF"/>
      <name val="Arial"/>
      <family val="0"/>
      <charset val="1"/>
    </font>
    <font>
      <sz val="10"/>
      <color rgb="FFFFFFFF"/>
      <name val="Arial"/>
      <family val="0"/>
      <charset val="1"/>
    </font>
    <font>
      <b val="true"/>
      <sz val="10"/>
      <color rgb="FFFFFFFF"/>
      <name val="Arial"/>
      <family val="0"/>
      <charset val="1"/>
    </font>
    <font>
      <b val="true"/>
      <sz val="11"/>
      <color rgb="FF2EC4B6"/>
      <name val="Arial"/>
      <family val="0"/>
      <charset val="1"/>
    </font>
    <font>
      <b val="true"/>
      <sz val="11"/>
      <color rgb="FF000000"/>
      <name val="Arial"/>
      <family val="0"/>
      <charset val="1"/>
    </font>
  </fonts>
  <fills count="6">
    <fill>
      <patternFill patternType="none"/>
    </fill>
    <fill>
      <patternFill patternType="gray125"/>
    </fill>
    <fill>
      <patternFill patternType="solid">
        <fgColor rgb="FF000000"/>
        <bgColor rgb="FF0A0A0A"/>
      </patternFill>
    </fill>
    <fill>
      <patternFill patternType="solid">
        <fgColor rgb="FF111111"/>
        <bgColor rgb="FF0A0A0A"/>
      </patternFill>
    </fill>
    <fill>
      <patternFill patternType="solid">
        <fgColor rgb="FF2EC4B6"/>
        <bgColor rgb="FF00CCFF"/>
      </patternFill>
    </fill>
    <fill>
      <patternFill patternType="solid">
        <fgColor rgb="FF0A0A0A"/>
        <bgColor rgb="FF111111"/>
      </patternFill>
    </fill>
  </fills>
  <borders count="2">
    <border diagonalUp="false" diagonalDown="false">
      <left/>
      <right/>
      <top/>
      <bottom/>
      <diagonal/>
    </border>
    <border diagonalUp="false" diagonalDown="false">
      <left style="thin">
        <color rgb="FF2A2A2A"/>
      </left>
      <right style="thin">
        <color rgb="FF2A2A2A"/>
      </right>
      <top style="thin">
        <color rgb="FF2A2A2A"/>
      </top>
      <bottom style="thin">
        <color rgb="FF2A2A2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6" fillId="3" borderId="0" xfId="0" applyFont="true" applyBorder="false" applyAlignment="true" applyProtection="false">
      <alignment horizontal="left"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6" fontId="9" fillId="5" borderId="1" xfId="0" applyFont="true" applyBorder="true" applyAlignment="true" applyProtection="false">
      <alignment horizontal="general" vertical="center" textRotation="0" wrapText="tru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7" fontId="9" fillId="5" borderId="1" xfId="0" applyFont="true" applyBorder="true" applyAlignment="true" applyProtection="false">
      <alignment horizontal="general" vertical="center" textRotation="0" wrapText="true" indent="0" shrinkToFit="false"/>
      <protection locked="true" hidden="false"/>
    </xf>
    <xf numFmtId="164" fontId="10" fillId="5"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6" fontId="9" fillId="3" borderId="1"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7" fontId="9" fillId="3"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8" fontId="9" fillId="5" borderId="1" xfId="0" applyFont="true" applyBorder="true" applyAlignment="true" applyProtection="false">
      <alignment horizontal="general" vertical="center" textRotation="0" wrapText="true" indent="0" shrinkToFit="false"/>
      <protection locked="true" hidden="false"/>
    </xf>
    <xf numFmtId="168" fontId="9" fillId="3" borderId="1" xfId="0" applyFont="true" applyBorder="true" applyAlignment="true" applyProtection="false">
      <alignment horizontal="general" vertical="center" textRotation="0" wrapText="true" indent="0" shrinkToFit="false"/>
      <protection locked="true" hidden="false"/>
    </xf>
    <xf numFmtId="169" fontId="9" fillId="5" borderId="1" xfId="0" applyFont="true" applyBorder="true" applyAlignment="true" applyProtection="false">
      <alignment horizontal="general" vertical="center" textRotation="0" wrapText="true" indent="0" shrinkToFit="false"/>
      <protection locked="true" hidden="false"/>
    </xf>
    <xf numFmtId="169" fontId="9" fillId="3" borderId="1" xfId="0" applyFont="true" applyBorder="true" applyAlignment="true" applyProtection="false">
      <alignment horizontal="general" vertical="center" textRotation="0" wrapText="true" indent="0" shrinkToFit="false"/>
      <protection locked="true" hidden="false"/>
    </xf>
    <xf numFmtId="170" fontId="10" fillId="5" borderId="1" xfId="0" applyFont="true" applyBorder="true" applyAlignment="true" applyProtection="false">
      <alignment horizontal="general" vertical="center" textRotation="0" wrapText="true" indent="0" shrinkToFit="false"/>
      <protection locked="true" hidden="false"/>
    </xf>
    <xf numFmtId="165" fontId="10" fillId="5"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70" fontId="10" fillId="3"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71" fontId="9" fillId="3" borderId="1"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72" fontId="13" fillId="4" borderId="0" xfId="0" applyFont="true" applyBorder="false" applyAlignment="true" applyProtection="false">
      <alignment horizontal="center" vertical="bottom" textRotation="0" wrapText="false" indent="0" shrinkToFit="false"/>
      <protection locked="true" hidden="false"/>
    </xf>
    <xf numFmtId="170" fontId="10" fillId="3" borderId="1" xfId="0" applyFont="true" applyBorder="true" applyAlignment="true" applyProtection="false">
      <alignment horizontal="right" vertical="bottom" textRotation="0" wrapText="false" indent="0" shrinkToFit="false"/>
      <protection locked="true" hidden="false"/>
    </xf>
    <xf numFmtId="167" fontId="10" fillId="5" borderId="1" xfId="0" applyFont="true" applyBorder="true" applyAlignment="true" applyProtection="false">
      <alignment horizontal="right" vertical="bottom" textRotation="0" wrapText="false" indent="0" shrinkToFit="false"/>
      <protection locked="true" hidden="false"/>
    </xf>
    <xf numFmtId="167" fontId="10" fillId="3" borderId="1" xfId="0" applyFont="true" applyBorder="true" applyAlignment="true" applyProtection="false">
      <alignment horizontal="right" vertical="bottom" textRotation="0" wrapText="false" indent="0" shrinkToFit="false"/>
      <protection locked="true" hidden="false"/>
    </xf>
    <xf numFmtId="173" fontId="11" fillId="5" borderId="1" xfId="0" applyFont="true" applyBorder="true" applyAlignment="true" applyProtection="false">
      <alignment horizontal="right" vertical="bottom" textRotation="0" wrapText="false" indent="0" shrinkToFit="false"/>
      <protection locked="true" hidden="false"/>
    </xf>
    <xf numFmtId="174" fontId="11" fillId="3" borderId="1" xfId="0" applyFont="true" applyBorder="true" applyAlignment="true" applyProtection="false">
      <alignment horizontal="right" vertical="bottom" textRotation="0" wrapText="false" indent="0" shrinkToFit="false"/>
      <protection locked="true" hidden="false"/>
    </xf>
    <xf numFmtId="173" fontId="10" fillId="5" borderId="1" xfId="0" applyFont="true" applyBorder="true" applyAlignment="true" applyProtection="false">
      <alignment horizontal="right" vertical="bottom" textRotation="0" wrapText="false" indent="0" shrinkToFit="false"/>
      <protection locked="true" hidden="false"/>
    </xf>
    <xf numFmtId="175" fontId="11" fillId="3" borderId="1" xfId="0" applyFont="true" applyBorder="true" applyAlignment="true" applyProtection="false">
      <alignment horizontal="right" vertical="bottom" textRotation="0" wrapText="fals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0A0A0A"/>
          <bgColor rgb="FF000000"/>
        </patternFill>
      </fill>
    </dxf>
    <dxf>
      <fill>
        <patternFill patternType="solid">
          <fgColor rgb="FF111111"/>
          <bgColor rgb="FF000000"/>
        </patternFill>
      </fill>
    </dxf>
    <dxf>
      <fill>
        <patternFill patternType="solid">
          <fgColor rgb="FF2EC4B6"/>
          <bgColor rgb="FF000000"/>
        </patternFill>
      </fill>
    </dxf>
    <dxf>
      <fill>
        <patternFill patternType="solid">
          <fgColor rgb="FF000000"/>
          <bgColor rgb="FF000000"/>
        </patternFill>
      </fill>
    </dxf>
    <dxf>
      <fill>
        <patternFill patternType="solid">
          <fgColor rgb="FF7FDBFF"/>
          <bgColor rgb="FF000000"/>
        </patternFill>
      </fill>
    </dxf>
    <dxf>
      <fill>
        <patternFill patternType="solid">
          <fgColor rgb="FFFFFFFF"/>
          <bgColor rgb="FF000000"/>
        </patternFill>
      </fill>
    </dxf>
    <dxf>
      <font>
        <name val="Arial"/>
        <charset val="1"/>
        <family val="0"/>
        <b val="1"/>
        <color rgb="FF000000"/>
      </font>
      <fill>
        <patternFill>
          <bgColor rgb="FF2EC4B6"/>
        </patternFill>
      </fill>
    </dxf>
    <dxf>
      <font>
        <name val="Arial"/>
        <charset val="1"/>
        <family val="0"/>
        <color rgb="FFFFFFFF"/>
      </font>
      <fill>
        <patternFill>
          <bgColor rgb="FF5A1A1A"/>
        </patternFill>
      </fill>
    </dxf>
    <dxf>
      <font>
        <name val="Arial"/>
        <charset val="1"/>
        <family val="0"/>
        <b val="1"/>
        <color rgb="FFFF6B6B"/>
      </font>
    </dxf>
    <dxf>
      <font>
        <name val="Arial"/>
        <charset val="1"/>
        <family val="0"/>
        <color rgb="FF9A9A9A"/>
      </font>
    </dxf>
    <dxf>
      <font>
        <name val="Arial"/>
        <charset val="1"/>
        <family val="0"/>
        <b val="1"/>
        <color rgb="FF2EC4B6"/>
      </font>
    </dxf>
    <dxf>
      <font>
        <name val="Arial"/>
        <charset val="1"/>
        <family val="0"/>
        <b val="1"/>
        <color rgb="FF000000"/>
      </font>
      <fill>
        <patternFill>
          <bgColor rgb="FFE6B800"/>
        </patternFill>
      </fill>
    </dxf>
    <dxf>
      <font>
        <name val="Arial"/>
        <charset val="1"/>
        <family val="0"/>
        <b val="1"/>
        <color rgb="FFFFFFFF"/>
      </font>
      <fill>
        <patternFill>
          <bgColor rgb="FF8B2020"/>
        </patternFill>
      </fill>
    </dxf>
    <dxf>
      <font>
        <name val="Arial"/>
        <charset val="1"/>
        <family val="0"/>
        <color rgb="FFFF6B6B"/>
      </font>
    </dxf>
  </dxfs>
  <colors>
    <indexedColors>
      <rgbColor rgb="FF000000"/>
      <rgbColor rgb="FFFFFFFF"/>
      <rgbColor rgb="FFFF0000"/>
      <rgbColor rgb="FF00FF00"/>
      <rgbColor rgb="FF0000FF"/>
      <rgbColor rgb="FFFFFF00"/>
      <rgbColor rgb="FFFF00FF"/>
      <rgbColor rgb="FF00FFFF"/>
      <rgbColor rgb="FF800000"/>
      <rgbColor rgb="FF008000"/>
      <rgbColor rgb="FF0A0A0A"/>
      <rgbColor rgb="FF808000"/>
      <rgbColor rgb="FF800080"/>
      <rgbColor rgb="FF008080"/>
      <rgbColor rgb="FFC0C0C0"/>
      <rgbColor rgb="FF808080"/>
      <rgbColor rgb="FF9999FF"/>
      <rgbColor rgb="FF993366"/>
      <rgbColor rgb="FFFFFFCC"/>
      <rgbColor rgb="FFCCFFFF"/>
      <rgbColor rgb="FF660066"/>
      <rgbColor rgb="FFFF6B6B"/>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7FDBFF"/>
      <rgbColor rgb="FFFF99CC"/>
      <rgbColor rgb="FFCC99FF"/>
      <rgbColor rgb="FFFFCC99"/>
      <rgbColor rgb="FF3366FF"/>
      <rgbColor rgb="FF2EC4B6"/>
      <rgbColor rgb="FF99CC00"/>
      <rgbColor rgb="FFE6B800"/>
      <rgbColor rgb="FFFF9900"/>
      <rgbColor rgb="FFFF6600"/>
      <rgbColor rgb="FF666699"/>
      <rgbColor rgb="FF9A9A9A"/>
      <rgbColor rgb="FF003366"/>
      <rgbColor rgb="FF339966"/>
      <rgbColor rgb="FF111111"/>
      <rgbColor rgb="FF5A1A1A"/>
      <rgbColor rgb="FF8B2020"/>
      <rgbColor rgb="FF993366"/>
      <rgbColor rgb="FF333399"/>
      <rgbColor rgb="FF2A2A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1</xdr:col>
      <xdr:colOff>1809360</xdr:colOff>
      <xdr:row>2</xdr:row>
      <xdr:rowOff>190080</xdr:rowOff>
    </xdr:to>
    <xdr:pic>
      <xdr:nvPicPr>
        <xdr:cNvPr id="0" name="Image 1" descr="Picture"/>
        <xdr:cNvPicPr/>
      </xdr:nvPicPr>
      <xdr:blipFill>
        <a:blip r:embed="rId1"/>
        <a:stretch/>
      </xdr:blipFill>
      <xdr:spPr>
        <a:xfrm>
          <a:off x="176400" y="95400"/>
          <a:ext cx="1809360" cy="4186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3</xdr:col>
      <xdr:colOff>399600</xdr:colOff>
      <xdr:row>2</xdr:row>
      <xdr:rowOff>190080</xdr:rowOff>
    </xdr:to>
    <xdr:pic>
      <xdr:nvPicPr>
        <xdr:cNvPr id="1" name="Image 1" descr="Picture"/>
        <xdr:cNvPicPr/>
      </xdr:nvPicPr>
      <xdr:blipFill>
        <a:blip r:embed="rId1"/>
        <a:stretch/>
      </xdr:blipFill>
      <xdr:spPr>
        <a:xfrm>
          <a:off x="176400" y="95400"/>
          <a:ext cx="1809360" cy="4186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3</xdr:col>
      <xdr:colOff>329040</xdr:colOff>
      <xdr:row>2</xdr:row>
      <xdr:rowOff>190080</xdr:rowOff>
    </xdr:to>
    <xdr:pic>
      <xdr:nvPicPr>
        <xdr:cNvPr id="2" name="Image 1" descr="Picture"/>
        <xdr:cNvPicPr/>
      </xdr:nvPicPr>
      <xdr:blipFill>
        <a:blip r:embed="rId1"/>
        <a:stretch/>
      </xdr:blipFill>
      <xdr:spPr>
        <a:xfrm>
          <a:off x="176400" y="95400"/>
          <a:ext cx="1809360" cy="4186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2</xdr:col>
      <xdr:colOff>963360</xdr:colOff>
      <xdr:row>2</xdr:row>
      <xdr:rowOff>190080</xdr:rowOff>
    </xdr:to>
    <xdr:pic>
      <xdr:nvPicPr>
        <xdr:cNvPr id="3" name="Image 1" descr="Picture"/>
        <xdr:cNvPicPr/>
      </xdr:nvPicPr>
      <xdr:blipFill>
        <a:blip r:embed="rId1"/>
        <a:stretch/>
      </xdr:blipFill>
      <xdr:spPr>
        <a:xfrm>
          <a:off x="176400" y="95400"/>
          <a:ext cx="1809360" cy="4186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2</xdr:col>
      <xdr:colOff>1033920</xdr:colOff>
      <xdr:row>2</xdr:row>
      <xdr:rowOff>190080</xdr:rowOff>
    </xdr:to>
    <xdr:pic>
      <xdr:nvPicPr>
        <xdr:cNvPr id="4" name="Image 1" descr="Picture"/>
        <xdr:cNvPicPr/>
      </xdr:nvPicPr>
      <xdr:blipFill>
        <a:blip r:embed="rId1"/>
        <a:stretch/>
      </xdr:blipFill>
      <xdr:spPr>
        <a:xfrm>
          <a:off x="176400" y="95400"/>
          <a:ext cx="1809360" cy="41868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1</xdr:col>
      <xdr:colOff>1809360</xdr:colOff>
      <xdr:row>2</xdr:row>
      <xdr:rowOff>190080</xdr:rowOff>
    </xdr:to>
    <xdr:pic>
      <xdr:nvPicPr>
        <xdr:cNvPr id="5" name="Image 1" descr="Picture"/>
        <xdr:cNvPicPr/>
      </xdr:nvPicPr>
      <xdr:blipFill>
        <a:blip r:embed="rId1"/>
        <a:stretch/>
      </xdr:blipFill>
      <xdr:spPr>
        <a:xfrm>
          <a:off x="176400" y="95400"/>
          <a:ext cx="1809360" cy="418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1</xdr:col>
      <xdr:colOff>1809360</xdr:colOff>
      <xdr:row>2</xdr:row>
      <xdr:rowOff>190080</xdr:rowOff>
    </xdr:to>
    <xdr:pic>
      <xdr:nvPicPr>
        <xdr:cNvPr id="6" name="Image 1" descr="Picture"/>
        <xdr:cNvPicPr/>
      </xdr:nvPicPr>
      <xdr:blipFill>
        <a:blip r:embed="rId1"/>
        <a:stretch/>
      </xdr:blipFill>
      <xdr:spPr>
        <a:xfrm>
          <a:off x="176400" y="95400"/>
          <a:ext cx="1809360" cy="4186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C4B6"/>
    <pageSetUpPr fitToPage="false"/>
  </sheetPr>
  <dimension ref="A1:J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30"/>
    <col collapsed="false" customWidth="true" hidden="false" outlineLevel="0" max="3" min="3" style="0" width="16"/>
    <col collapsed="false" customWidth="true" hidden="false" outlineLevel="0" max="4" min="4" style="0" width="4"/>
    <col collapsed="false" customWidth="true" hidden="false" outlineLevel="0" max="5" min="5" style="0" width="30"/>
    <col collapsed="false" customWidth="true" hidden="false" outlineLevel="0" max="6" min="6" style="0" width="16"/>
    <col collapsed="false" customWidth="true" hidden="false" outlineLevel="0" max="8" min="7" style="0" width="4"/>
  </cols>
  <sheetData>
    <row r="1" customFormat="false" ht="7.5" hidden="false" customHeight="true" outlineLevel="0" collapsed="false">
      <c r="A1" s="1"/>
      <c r="B1" s="1"/>
      <c r="C1" s="1"/>
      <c r="D1" s="1"/>
      <c r="E1" s="1"/>
      <c r="F1" s="1"/>
      <c r="G1" s="1"/>
      <c r="H1" s="1"/>
      <c r="I1" s="1"/>
      <c r="J1" s="1"/>
    </row>
    <row r="2" customFormat="false" ht="18" hidden="false" customHeight="true" outlineLevel="0" collapsed="false">
      <c r="A2" s="1"/>
      <c r="B2" s="1"/>
      <c r="C2" s="1"/>
      <c r="D2" s="1"/>
      <c r="E2" s="2" t="s">
        <v>0</v>
      </c>
      <c r="F2" s="1"/>
      <c r="G2" s="1"/>
      <c r="H2" s="1"/>
      <c r="I2" s="1"/>
      <c r="J2" s="1"/>
    </row>
    <row r="3" customFormat="false" ht="18" hidden="false" customHeight="true" outlineLevel="0" collapsed="false">
      <c r="A3" s="1"/>
      <c r="B3" s="1"/>
      <c r="C3" s="1"/>
      <c r="D3" s="1"/>
      <c r="E3" s="3" t="s">
        <v>1</v>
      </c>
      <c r="F3" s="1"/>
      <c r="G3" s="1"/>
      <c r="H3" s="1"/>
      <c r="I3" s="1"/>
      <c r="J3" s="1"/>
    </row>
    <row r="4" customFormat="false" ht="15" hidden="false" customHeight="false" outlineLevel="0" collapsed="false">
      <c r="A4" s="1"/>
      <c r="B4" s="1"/>
      <c r="C4" s="1"/>
      <c r="D4" s="1"/>
      <c r="E4" s="1"/>
      <c r="F4" s="1"/>
      <c r="G4" s="1"/>
      <c r="H4" s="1"/>
      <c r="I4" s="1"/>
      <c r="J4" s="1"/>
    </row>
    <row r="5" customFormat="false" ht="15" hidden="false" customHeight="false" outlineLevel="0" collapsed="false">
      <c r="A5" s="1"/>
      <c r="B5" s="1"/>
      <c r="C5" s="1"/>
      <c r="D5" s="1"/>
      <c r="E5" s="1"/>
      <c r="F5" s="1"/>
      <c r="G5" s="1"/>
      <c r="H5" s="1"/>
      <c r="I5" s="1"/>
      <c r="J5" s="1"/>
    </row>
    <row r="6" customFormat="false" ht="15" hidden="false" customHeight="false" outlineLevel="0" collapsed="false">
      <c r="A6" s="1"/>
      <c r="B6" s="4" t="s">
        <v>2</v>
      </c>
      <c r="C6" s="5"/>
      <c r="D6" s="1"/>
      <c r="E6" s="4" t="s">
        <v>3</v>
      </c>
      <c r="F6" s="5"/>
      <c r="G6" s="1"/>
      <c r="H6" s="1"/>
      <c r="I6" s="1"/>
      <c r="J6" s="1"/>
    </row>
    <row r="7" customFormat="false" ht="33.75" hidden="false" customHeight="true" outlineLevel="0" collapsed="false">
      <c r="A7" s="1"/>
      <c r="B7" s="6" t="n">
        <f aca="false">COUNTIF(Landings!$D$7:$D$306,"?*")</f>
        <v>1</v>
      </c>
      <c r="C7" s="5"/>
      <c r="D7" s="1"/>
      <c r="E7" s="6" t="n">
        <f aca="false">COUNTIF(Landings!$L$7:$L$306,"Dejada")</f>
        <v>0</v>
      </c>
      <c r="F7" s="5"/>
      <c r="G7" s="1"/>
      <c r="H7" s="1"/>
      <c r="I7" s="1"/>
      <c r="J7" s="1"/>
    </row>
    <row r="8" customFormat="false" ht="15" hidden="false" customHeight="false" outlineLevel="0" collapsed="false">
      <c r="A8" s="1"/>
      <c r="B8" s="1"/>
      <c r="C8" s="1"/>
      <c r="D8" s="1"/>
      <c r="E8" s="1"/>
      <c r="F8" s="1"/>
      <c r="G8" s="1"/>
      <c r="H8" s="1"/>
      <c r="I8" s="1"/>
      <c r="J8" s="1"/>
    </row>
    <row r="9" customFormat="false" ht="15" hidden="false" customHeight="false" outlineLevel="0" collapsed="false">
      <c r="A9" s="1"/>
      <c r="B9" s="4" t="s">
        <v>4</v>
      </c>
      <c r="C9" s="5"/>
      <c r="D9" s="1"/>
      <c r="E9" s="4" t="s">
        <v>5</v>
      </c>
      <c r="F9" s="5"/>
      <c r="G9" s="1"/>
      <c r="H9" s="1"/>
      <c r="I9" s="1"/>
      <c r="J9" s="1"/>
    </row>
    <row r="10" customFormat="false" ht="33.75" hidden="false" customHeight="true" outlineLevel="0" collapsed="false">
      <c r="A10" s="1"/>
      <c r="B10" s="6" t="n">
        <f aca="false">COUNTIF(Landings!$L$7:$L$306,"Analizando")</f>
        <v>1</v>
      </c>
      <c r="C10" s="5"/>
      <c r="D10" s="1"/>
      <c r="E10" s="6" t="n">
        <f aca="false">COUNTIF(Productos!$D$7:$D$406,"?*")</f>
        <v>1</v>
      </c>
      <c r="F10" s="5"/>
      <c r="G10" s="1"/>
      <c r="H10" s="1"/>
      <c r="I10" s="1"/>
      <c r="J10" s="1"/>
    </row>
    <row r="11" customFormat="false" ht="15" hidden="false" customHeight="false" outlineLevel="0" collapsed="false">
      <c r="A11" s="1"/>
      <c r="B11" s="1"/>
      <c r="C11" s="1"/>
      <c r="D11" s="1"/>
      <c r="E11" s="1"/>
      <c r="F11" s="1"/>
      <c r="G11" s="1"/>
      <c r="H11" s="1"/>
      <c r="I11" s="1"/>
      <c r="J11" s="1"/>
    </row>
    <row r="12" customFormat="false" ht="15" hidden="false" customHeight="false" outlineLevel="0" collapsed="false">
      <c r="A12" s="1"/>
      <c r="B12" s="4" t="s">
        <v>6</v>
      </c>
      <c r="C12" s="5"/>
      <c r="D12" s="1"/>
      <c r="E12" s="4" t="s">
        <v>7</v>
      </c>
      <c r="F12" s="5"/>
      <c r="G12" s="1"/>
      <c r="H12" s="1"/>
      <c r="I12" s="1"/>
      <c r="J12" s="1"/>
    </row>
    <row r="13" customFormat="false" ht="33.75" hidden="false" customHeight="true" outlineLevel="0" collapsed="false">
      <c r="A13" s="1"/>
      <c r="B13" s="6" t="n">
        <f aca="false">COUNTIF(Productos!$I$7:$I$406,"Sí")</f>
        <v>1</v>
      </c>
      <c r="C13" s="5"/>
      <c r="D13" s="1"/>
      <c r="E13" s="6" t="n">
        <f aca="false">COUNTIF(Productos!$J$7:$J$406,"Sí")</f>
        <v>1</v>
      </c>
      <c r="F13" s="5"/>
      <c r="G13" s="1"/>
      <c r="H13" s="1"/>
      <c r="I13" s="1"/>
      <c r="J13" s="1"/>
    </row>
    <row r="14" customFormat="false" ht="15" hidden="false" customHeight="false" outlineLevel="0" collapsed="false">
      <c r="A14" s="1"/>
      <c r="B14" s="1"/>
      <c r="C14" s="1"/>
      <c r="D14" s="1"/>
      <c r="E14" s="1"/>
      <c r="F14" s="1"/>
      <c r="G14" s="1"/>
      <c r="H14" s="1"/>
      <c r="I14" s="1"/>
      <c r="J14" s="1"/>
    </row>
    <row r="15" customFormat="false" ht="15" hidden="false" customHeight="false" outlineLevel="0" collapsed="false">
      <c r="A15" s="1"/>
      <c r="B15" s="4" t="s">
        <v>8</v>
      </c>
      <c r="C15" s="5"/>
      <c r="D15" s="1"/>
      <c r="E15" s="4" t="s">
        <v>9</v>
      </c>
      <c r="F15" s="5"/>
      <c r="G15" s="1"/>
      <c r="H15" s="1"/>
      <c r="I15" s="1"/>
      <c r="J15" s="1"/>
    </row>
    <row r="16" customFormat="false" ht="33.75" hidden="false" customHeight="true" outlineLevel="0" collapsed="false">
      <c r="A16" s="1"/>
      <c r="B16" s="6" t="n">
        <f aca="false">COUNTIF(Competencia!$C$7:$C$606,"?*")</f>
        <v>1</v>
      </c>
      <c r="C16" s="5"/>
      <c r="D16" s="1"/>
      <c r="E16" s="6" t="n">
        <f aca="false">COUNTIF(Competencia!$G$7:$G$606,"Sí")</f>
        <v>1</v>
      </c>
      <c r="F16" s="5"/>
      <c r="G16" s="1"/>
      <c r="H16" s="1"/>
      <c r="I16" s="1"/>
      <c r="J16" s="1"/>
    </row>
    <row r="17" customFormat="false" ht="15" hidden="false" customHeight="false" outlineLevel="0" collapsed="false">
      <c r="A17" s="1"/>
      <c r="B17" s="1"/>
      <c r="C17" s="1"/>
      <c r="D17" s="1"/>
      <c r="E17" s="1"/>
      <c r="F17" s="1"/>
      <c r="G17" s="1"/>
      <c r="H17" s="1"/>
      <c r="I17" s="1"/>
      <c r="J17" s="1"/>
    </row>
    <row r="18" customFormat="false" ht="15" hidden="false" customHeight="false" outlineLevel="0" collapsed="false">
      <c r="A18" s="1"/>
      <c r="B18" s="4" t="s">
        <v>10</v>
      </c>
      <c r="C18" s="5"/>
      <c r="D18" s="1"/>
      <c r="E18" s="4" t="s">
        <v>11</v>
      </c>
      <c r="F18" s="5"/>
      <c r="G18" s="1"/>
      <c r="H18" s="1"/>
      <c r="I18" s="1"/>
      <c r="J18" s="1"/>
    </row>
    <row r="19" customFormat="false" ht="33.75" hidden="false" customHeight="true" outlineLevel="0" collapsed="false">
      <c r="A19" s="1"/>
      <c r="B19" s="6" t="n">
        <f aca="false">COUNTIF(Competencia!$G$7:$G$606,"No")</f>
        <v>0</v>
      </c>
      <c r="C19" s="5"/>
      <c r="D19" s="1"/>
      <c r="E19" s="6" t="n">
        <f aca="false">COUNTIF(Finalistas!$M$7:$M$46,"VALIDAR")</f>
        <v>0</v>
      </c>
      <c r="F19" s="5"/>
      <c r="G19" s="1"/>
      <c r="H19" s="1"/>
      <c r="I19" s="1"/>
      <c r="J19" s="1"/>
    </row>
    <row r="20" customFormat="false" ht="15" hidden="false" customHeight="false" outlineLevel="0" collapsed="false">
      <c r="A20" s="1"/>
      <c r="B20" s="1"/>
      <c r="C20" s="1"/>
      <c r="D20" s="1"/>
      <c r="E20" s="1"/>
      <c r="F20" s="1"/>
      <c r="G20" s="1"/>
      <c r="H20" s="1"/>
      <c r="I20" s="1"/>
      <c r="J20" s="1"/>
    </row>
    <row r="21" customFormat="false" ht="15" hidden="false" customHeight="false" outlineLevel="0" collapsed="false">
      <c r="A21" s="1"/>
      <c r="B21" s="4" t="s">
        <v>12</v>
      </c>
      <c r="C21" s="5"/>
      <c r="D21" s="1"/>
      <c r="E21" s="4" t="s">
        <v>13</v>
      </c>
      <c r="F21" s="5"/>
      <c r="G21" s="1"/>
      <c r="H21" s="1"/>
      <c r="I21" s="1"/>
      <c r="J21" s="1"/>
    </row>
    <row r="22" customFormat="false" ht="33.75" hidden="false" customHeight="true" outlineLevel="0" collapsed="false">
      <c r="A22" s="1"/>
      <c r="B22" s="6" t="n">
        <f aca="false">COUNTIF(Finalistas!$M$7:$M$46,"OBSERVAR")</f>
        <v>0</v>
      </c>
      <c r="C22" s="5"/>
      <c r="D22" s="1"/>
      <c r="E22" s="6" t="n">
        <f aca="false">COUNTIF(Finalistas!$M$7:$M$46,"DESCARTAR")</f>
        <v>1</v>
      </c>
      <c r="F22" s="5"/>
      <c r="G22" s="1"/>
      <c r="H22" s="1"/>
      <c r="I22" s="1"/>
      <c r="J22" s="1"/>
    </row>
    <row r="23" customFormat="false" ht="15" hidden="false" customHeight="false" outlineLevel="0" collapsed="false">
      <c r="A23" s="1"/>
      <c r="B23" s="1"/>
      <c r="C23" s="1"/>
      <c r="D23" s="1"/>
      <c r="E23" s="1"/>
      <c r="F23" s="1"/>
      <c r="G23" s="1"/>
      <c r="H23" s="1"/>
      <c r="I23" s="1"/>
      <c r="J23" s="1"/>
    </row>
    <row r="24" customFormat="false" ht="15" hidden="false" customHeight="false" outlineLevel="0" collapsed="false">
      <c r="A24" s="1"/>
      <c r="B24" s="1"/>
      <c r="C24" s="1"/>
      <c r="D24" s="1"/>
      <c r="E24" s="1"/>
      <c r="F24" s="1"/>
      <c r="G24" s="1"/>
      <c r="H24" s="1"/>
      <c r="I24" s="1"/>
      <c r="J24" s="1"/>
    </row>
    <row r="25" customFormat="false" ht="15" hidden="false" customHeight="false" outlineLevel="0" collapsed="false">
      <c r="A25" s="1"/>
      <c r="B25" s="3" t="s">
        <v>14</v>
      </c>
      <c r="C25" s="1"/>
      <c r="D25" s="1"/>
      <c r="E25" s="1"/>
      <c r="F25" s="1"/>
      <c r="G25" s="1"/>
      <c r="H25" s="1"/>
      <c r="I25" s="1"/>
      <c r="J25" s="1"/>
    </row>
    <row r="26" customFormat="false" ht="15" hidden="false" customHeight="false" outlineLevel="0" collapsed="false">
      <c r="A26" s="1"/>
      <c r="B26" s="1"/>
      <c r="C26" s="1"/>
      <c r="D26" s="1"/>
      <c r="E26" s="1"/>
      <c r="F26" s="1"/>
      <c r="G26" s="1"/>
      <c r="H26" s="1"/>
      <c r="I26" s="1"/>
      <c r="J26" s="1"/>
    </row>
    <row r="27" customFormat="false" ht="15" hidden="false" customHeight="false" outlineLevel="0" collapsed="false">
      <c r="A27" s="1"/>
      <c r="B27" s="1"/>
      <c r="C27" s="1"/>
      <c r="D27" s="1"/>
      <c r="E27" s="1"/>
      <c r="F27" s="1"/>
      <c r="G27" s="1"/>
      <c r="H27" s="1"/>
      <c r="I27" s="1"/>
      <c r="J27" s="1"/>
    </row>
    <row r="28" customFormat="false" ht="15" hidden="false" customHeight="false" outlineLevel="0" collapsed="false">
      <c r="A28" s="1"/>
      <c r="B28" s="1"/>
      <c r="C28" s="1"/>
      <c r="D28" s="1"/>
      <c r="E28" s="1"/>
      <c r="F28" s="1"/>
      <c r="G28" s="1"/>
      <c r="H28" s="1"/>
      <c r="I28" s="1"/>
      <c r="J28" s="1"/>
    </row>
    <row r="29" customFormat="false" ht="15" hidden="false" customHeight="false" outlineLevel="0" collapsed="false">
      <c r="A29" s="1"/>
      <c r="B29" s="1"/>
      <c r="C29" s="1"/>
      <c r="D29" s="1"/>
      <c r="E29" s="1"/>
      <c r="F29" s="1"/>
      <c r="G29" s="1"/>
      <c r="H29" s="1"/>
      <c r="I29" s="1"/>
      <c r="J29" s="1"/>
    </row>
    <row r="30" customFormat="false" ht="15" hidden="false" customHeight="false" outlineLevel="0" collapsed="false">
      <c r="A30" s="1"/>
      <c r="B30" s="1"/>
      <c r="C30" s="1"/>
      <c r="D30" s="1"/>
      <c r="E30" s="1"/>
      <c r="F30" s="1"/>
      <c r="G30" s="1"/>
      <c r="H30" s="1"/>
      <c r="I30" s="1"/>
      <c r="J30" s="1"/>
    </row>
    <row r="31" customFormat="false" ht="15" hidden="false" customHeight="false" outlineLevel="0" collapsed="false">
      <c r="A31" s="1"/>
      <c r="B31" s="1"/>
      <c r="C31" s="1"/>
      <c r="D31" s="1"/>
      <c r="E31" s="1"/>
      <c r="F31" s="1"/>
      <c r="G31" s="1"/>
      <c r="H31" s="1"/>
      <c r="I31" s="1"/>
      <c r="J31" s="1"/>
    </row>
    <row r="32" customFormat="false" ht="15" hidden="false" customHeight="false" outlineLevel="0" collapsed="false">
      <c r="A32" s="1"/>
      <c r="B32" s="1"/>
      <c r="C32" s="1"/>
      <c r="D32" s="1"/>
      <c r="E32" s="1"/>
      <c r="F32" s="1"/>
      <c r="G32" s="1"/>
      <c r="H32" s="1"/>
      <c r="I32" s="1"/>
      <c r="J32" s="1"/>
    </row>
    <row r="33" customFormat="false" ht="15" hidden="false" customHeight="false" outlineLevel="0" collapsed="false">
      <c r="A33" s="1"/>
      <c r="B33" s="1"/>
      <c r="C33" s="1"/>
      <c r="D33" s="1"/>
      <c r="E33" s="1"/>
      <c r="F33" s="1"/>
      <c r="G33" s="1"/>
      <c r="H33" s="1"/>
      <c r="I33" s="1"/>
      <c r="J33" s="1"/>
    </row>
    <row r="34" customFormat="false" ht="15" hidden="false" customHeight="false" outlineLevel="0" collapsed="false">
      <c r="A34" s="1"/>
      <c r="B34" s="1"/>
      <c r="C34" s="1"/>
      <c r="D34" s="1"/>
      <c r="E34" s="1"/>
      <c r="F34" s="1"/>
      <c r="G34" s="1"/>
      <c r="H34" s="1"/>
      <c r="I34" s="1"/>
      <c r="J34" s="1"/>
    </row>
    <row r="35" customFormat="false" ht="15" hidden="false" customHeight="false" outlineLevel="0" collapsed="false">
      <c r="A35" s="1"/>
      <c r="B35" s="1"/>
      <c r="C35" s="1"/>
      <c r="D35" s="1"/>
      <c r="E35" s="1"/>
      <c r="F35" s="1"/>
      <c r="G35" s="1"/>
      <c r="H35" s="1"/>
      <c r="I35" s="1"/>
      <c r="J35" s="1"/>
    </row>
    <row r="36" customFormat="false" ht="15" hidden="false" customHeight="false" outlineLevel="0" collapsed="false">
      <c r="A36" s="1"/>
      <c r="B36" s="1"/>
      <c r="C36" s="1"/>
      <c r="D36" s="1"/>
      <c r="E36" s="1"/>
      <c r="F36" s="1"/>
      <c r="G36" s="1"/>
      <c r="H36" s="1"/>
      <c r="I36" s="1"/>
      <c r="J36" s="1"/>
    </row>
    <row r="37" customFormat="false" ht="15" hidden="false" customHeight="false" outlineLevel="0" collapsed="false">
      <c r="A37" s="1"/>
      <c r="B37" s="1"/>
      <c r="C37" s="1"/>
      <c r="D37" s="1"/>
      <c r="E37" s="1"/>
      <c r="F37" s="1"/>
      <c r="G37" s="1"/>
      <c r="H37" s="1"/>
      <c r="I37" s="1"/>
      <c r="J37" s="1"/>
    </row>
    <row r="38" customFormat="false" ht="15" hidden="false" customHeight="false" outlineLevel="0" collapsed="false">
      <c r="A38" s="1"/>
      <c r="B38" s="1"/>
      <c r="C38" s="1"/>
      <c r="D38" s="1"/>
      <c r="E38" s="1"/>
      <c r="F38" s="1"/>
      <c r="G38" s="1"/>
      <c r="H38" s="1"/>
      <c r="I38" s="1"/>
      <c r="J38" s="1"/>
    </row>
    <row r="39" customFormat="false" ht="15" hidden="false" customHeight="false" outlineLevel="0" collapsed="false">
      <c r="A39" s="1"/>
      <c r="B39" s="1"/>
      <c r="C39" s="1"/>
      <c r="D39" s="1"/>
      <c r="E39" s="1"/>
      <c r="F39" s="1"/>
      <c r="G39" s="1"/>
      <c r="H39" s="1"/>
      <c r="I39" s="1"/>
      <c r="J39"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C4B6"/>
    <pageSetUpPr fitToPage="false"/>
  </sheetPr>
  <dimension ref="A1:N3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8"/>
    <col collapsed="false" customWidth="true" hidden="false" outlineLevel="0" max="3" min="3" style="0" width="12"/>
    <col collapsed="false" customWidth="true" hidden="false" outlineLevel="0" max="4" min="4" style="0" width="38"/>
    <col collapsed="false" customWidth="true" hidden="false" outlineLevel="0" max="5" min="5" style="0" width="16"/>
    <col collapsed="false" customWidth="true" hidden="false" outlineLevel="0" max="6" min="6" style="0" width="13"/>
    <col collapsed="false" customWidth="true" hidden="false" outlineLevel="0" max="7" min="7" style="0" width="11"/>
    <col collapsed="false" customWidth="true" hidden="false" outlineLevel="0" max="8" min="8" style="0" width="22"/>
    <col collapsed="false" customWidth="true" hidden="false" outlineLevel="0" max="9" min="9" style="0" width="32"/>
    <col collapsed="false" customWidth="true" hidden="false" outlineLevel="0" max="10" min="10" style="0" width="13"/>
    <col collapsed="false" customWidth="true" hidden="false" outlineLevel="0" max="11" min="11" style="0" width="12"/>
    <col collapsed="false" customWidth="true" hidden="false" outlineLevel="0" max="13" min="12" style="0" width="14"/>
    <col collapsed="false" customWidth="true" hidden="false" outlineLevel="0" max="14" min="14" style="0" width="34"/>
  </cols>
  <sheetData>
    <row r="1" customFormat="false" ht="7.5" hidden="false" customHeight="true" outlineLevel="0" collapsed="false">
      <c r="A1" s="1"/>
      <c r="B1" s="1"/>
      <c r="C1" s="1"/>
      <c r="D1" s="1"/>
      <c r="E1" s="1"/>
      <c r="F1" s="1"/>
      <c r="G1" s="1"/>
      <c r="H1" s="1"/>
      <c r="I1" s="1"/>
      <c r="J1" s="1"/>
      <c r="K1" s="1"/>
      <c r="L1" s="1"/>
      <c r="M1" s="1"/>
      <c r="N1" s="1"/>
    </row>
    <row r="2" customFormat="false" ht="18" hidden="false" customHeight="true" outlineLevel="0" collapsed="false">
      <c r="A2" s="1"/>
      <c r="B2" s="1"/>
      <c r="C2" s="1"/>
      <c r="D2" s="1"/>
      <c r="E2" s="2" t="s">
        <v>15</v>
      </c>
      <c r="F2" s="1"/>
      <c r="G2" s="1"/>
      <c r="H2" s="1"/>
      <c r="I2" s="1"/>
      <c r="J2" s="1"/>
      <c r="K2" s="1"/>
      <c r="L2" s="1"/>
      <c r="M2" s="1"/>
      <c r="N2" s="1"/>
    </row>
    <row r="3" customFormat="false" ht="18" hidden="false" customHeight="true" outlineLevel="0" collapsed="false">
      <c r="A3" s="1"/>
      <c r="B3" s="1"/>
      <c r="C3" s="1"/>
      <c r="D3" s="1"/>
      <c r="E3" s="3" t="s">
        <v>16</v>
      </c>
      <c r="F3" s="1"/>
      <c r="G3" s="1"/>
      <c r="H3" s="1"/>
      <c r="I3" s="1"/>
      <c r="J3" s="1"/>
      <c r="K3" s="1"/>
      <c r="L3" s="1"/>
      <c r="M3" s="1"/>
      <c r="N3" s="1"/>
    </row>
    <row r="4" customFormat="false" ht="15" hidden="false" customHeight="false" outlineLevel="0" collapsed="false">
      <c r="A4" s="1"/>
      <c r="B4" s="1"/>
      <c r="C4" s="1"/>
      <c r="D4" s="1"/>
      <c r="E4" s="1"/>
      <c r="F4" s="1"/>
      <c r="G4" s="1"/>
      <c r="H4" s="1"/>
      <c r="I4" s="1"/>
      <c r="J4" s="1"/>
      <c r="K4" s="1"/>
      <c r="L4" s="1"/>
      <c r="M4" s="1"/>
      <c r="N4" s="1"/>
    </row>
    <row r="5" customFormat="false" ht="15" hidden="false" customHeight="false" outlineLevel="0" collapsed="false">
      <c r="A5" s="1"/>
      <c r="B5" s="1"/>
      <c r="C5" s="1"/>
      <c r="D5" s="1"/>
      <c r="E5" s="1"/>
      <c r="F5" s="1"/>
      <c r="G5" s="1"/>
      <c r="H5" s="1"/>
      <c r="I5" s="1"/>
      <c r="J5" s="1"/>
      <c r="K5" s="1"/>
      <c r="L5" s="1"/>
      <c r="M5" s="1"/>
      <c r="N5" s="1"/>
    </row>
    <row r="6" customFormat="false" ht="33.75" hidden="false" customHeight="true" outlineLevel="0" collapsed="false">
      <c r="A6" s="1"/>
      <c r="B6" s="7" t="s">
        <v>17</v>
      </c>
      <c r="C6" s="7" t="s">
        <v>18</v>
      </c>
      <c r="D6" s="7" t="s">
        <v>19</v>
      </c>
      <c r="E6" s="7" t="s">
        <v>20</v>
      </c>
      <c r="F6" s="7" t="s">
        <v>21</v>
      </c>
      <c r="G6" s="7" t="s">
        <v>22</v>
      </c>
      <c r="H6" s="7" t="s">
        <v>23</v>
      </c>
      <c r="I6" s="7" t="s">
        <v>24</v>
      </c>
      <c r="J6" s="7" t="s">
        <v>25</v>
      </c>
      <c r="K6" s="7" t="s">
        <v>26</v>
      </c>
      <c r="L6" s="7" t="s">
        <v>27</v>
      </c>
      <c r="M6" s="7" t="s">
        <v>28</v>
      </c>
      <c r="N6" s="7" t="s">
        <v>29</v>
      </c>
    </row>
    <row r="7" customFormat="false" ht="23.85" hidden="false" customHeight="false" outlineLevel="0" collapsed="false">
      <c r="A7" s="1"/>
      <c r="B7" s="8" t="str">
        <f aca="false">IF(D7="","","L-"&amp;TEXT(ROW()-6,"000"))</f>
        <v>L-001</v>
      </c>
      <c r="C7" s="9" t="n">
        <v>46296</v>
      </c>
      <c r="D7" s="10" t="s">
        <v>30</v>
      </c>
      <c r="E7" s="10" t="s">
        <v>31</v>
      </c>
      <c r="F7" s="11" t="n">
        <v>850</v>
      </c>
      <c r="G7" s="12" t="str">
        <f aca="false">IF(F7="","",IF(F7&gt;600,"Sí","No"))</f>
        <v>Sí</v>
      </c>
      <c r="H7" s="10" t="s">
        <v>32</v>
      </c>
      <c r="I7" s="10" t="s">
        <v>33</v>
      </c>
      <c r="J7" s="11" t="n">
        <v>120000</v>
      </c>
      <c r="K7" s="9" t="n">
        <v>46249</v>
      </c>
      <c r="L7" s="10" t="s">
        <v>34</v>
      </c>
      <c r="M7" s="10" t="n">
        <v>20</v>
      </c>
      <c r="N7" s="10" t="s">
        <v>35</v>
      </c>
    </row>
    <row r="8" customFormat="false" ht="15" hidden="false" customHeight="false" outlineLevel="0" collapsed="false">
      <c r="A8" s="1"/>
      <c r="B8" s="13" t="str">
        <f aca="false">IF(D8="","","L-"&amp;TEXT(ROW()-6,"000"))</f>
        <v/>
      </c>
      <c r="C8" s="14"/>
      <c r="D8" s="15"/>
      <c r="E8" s="15"/>
      <c r="F8" s="16"/>
      <c r="G8" s="17" t="str">
        <f aca="false">IF(F8="","",IF(F8&gt;600,"Sí","No"))</f>
        <v/>
      </c>
      <c r="H8" s="15"/>
      <c r="I8" s="15"/>
      <c r="J8" s="16"/>
      <c r="K8" s="14"/>
      <c r="L8" s="15"/>
      <c r="M8" s="15"/>
      <c r="N8" s="15"/>
    </row>
    <row r="9" customFormat="false" ht="15" hidden="false" customHeight="false" outlineLevel="0" collapsed="false">
      <c r="A9" s="1"/>
      <c r="B9" s="8" t="str">
        <f aca="false">IF(D9="","","L-"&amp;TEXT(ROW()-6,"000"))</f>
        <v/>
      </c>
      <c r="C9" s="9"/>
      <c r="D9" s="10"/>
      <c r="E9" s="10"/>
      <c r="F9" s="11"/>
      <c r="G9" s="12" t="str">
        <f aca="false">IF(F9="","",IF(F9&gt;600,"Sí","No"))</f>
        <v/>
      </c>
      <c r="H9" s="10"/>
      <c r="I9" s="10"/>
      <c r="J9" s="11"/>
      <c r="K9" s="9"/>
      <c r="L9" s="10"/>
      <c r="M9" s="10"/>
      <c r="N9" s="10"/>
    </row>
    <row r="10" customFormat="false" ht="15" hidden="false" customHeight="false" outlineLevel="0" collapsed="false">
      <c r="A10" s="1"/>
      <c r="B10" s="13" t="str">
        <f aca="false">IF(D10="","","L-"&amp;TEXT(ROW()-6,"000"))</f>
        <v/>
      </c>
      <c r="C10" s="14"/>
      <c r="D10" s="15"/>
      <c r="E10" s="15"/>
      <c r="F10" s="16"/>
      <c r="G10" s="17" t="str">
        <f aca="false">IF(F10="","",IF(F10&gt;600,"Sí","No"))</f>
        <v/>
      </c>
      <c r="H10" s="15"/>
      <c r="I10" s="15"/>
      <c r="J10" s="16"/>
      <c r="K10" s="14"/>
      <c r="L10" s="15"/>
      <c r="M10" s="15"/>
      <c r="N10" s="15"/>
    </row>
    <row r="11" customFormat="false" ht="15" hidden="false" customHeight="false" outlineLevel="0" collapsed="false">
      <c r="A11" s="1"/>
      <c r="B11" s="8" t="str">
        <f aca="false">IF(D11="","","L-"&amp;TEXT(ROW()-6,"000"))</f>
        <v/>
      </c>
      <c r="C11" s="9"/>
      <c r="D11" s="10"/>
      <c r="E11" s="10"/>
      <c r="F11" s="11"/>
      <c r="G11" s="12" t="str">
        <f aca="false">IF(F11="","",IF(F11&gt;600,"Sí","No"))</f>
        <v/>
      </c>
      <c r="H11" s="10"/>
      <c r="I11" s="10"/>
      <c r="J11" s="11"/>
      <c r="K11" s="9"/>
      <c r="L11" s="10"/>
      <c r="M11" s="10"/>
      <c r="N11" s="10"/>
    </row>
    <row r="12" customFormat="false" ht="15" hidden="false" customHeight="false" outlineLevel="0" collapsed="false">
      <c r="A12" s="1"/>
      <c r="B12" s="13" t="str">
        <f aca="false">IF(D12="","","L-"&amp;TEXT(ROW()-6,"000"))</f>
        <v/>
      </c>
      <c r="C12" s="14"/>
      <c r="D12" s="15"/>
      <c r="E12" s="15"/>
      <c r="F12" s="16"/>
      <c r="G12" s="17" t="str">
        <f aca="false">IF(F12="","",IF(F12&gt;600,"Sí","No"))</f>
        <v/>
      </c>
      <c r="H12" s="15"/>
      <c r="I12" s="15"/>
      <c r="J12" s="16"/>
      <c r="K12" s="14"/>
      <c r="L12" s="15"/>
      <c r="M12" s="15"/>
      <c r="N12" s="15"/>
    </row>
    <row r="13" customFormat="false" ht="15" hidden="false" customHeight="false" outlineLevel="0" collapsed="false">
      <c r="A13" s="1"/>
      <c r="B13" s="8" t="str">
        <f aca="false">IF(D13="","","L-"&amp;TEXT(ROW()-6,"000"))</f>
        <v/>
      </c>
      <c r="C13" s="9"/>
      <c r="D13" s="10"/>
      <c r="E13" s="10"/>
      <c r="F13" s="11"/>
      <c r="G13" s="12" t="str">
        <f aca="false">IF(F13="","",IF(F13&gt;600,"Sí","No"))</f>
        <v/>
      </c>
      <c r="H13" s="10"/>
      <c r="I13" s="10"/>
      <c r="J13" s="11"/>
      <c r="K13" s="9"/>
      <c r="L13" s="10"/>
      <c r="M13" s="10"/>
      <c r="N13" s="10"/>
    </row>
    <row r="14" customFormat="false" ht="15" hidden="false" customHeight="false" outlineLevel="0" collapsed="false">
      <c r="A14" s="1"/>
      <c r="B14" s="13" t="str">
        <f aca="false">IF(D14="","","L-"&amp;TEXT(ROW()-6,"000"))</f>
        <v/>
      </c>
      <c r="C14" s="14"/>
      <c r="D14" s="15"/>
      <c r="E14" s="15"/>
      <c r="F14" s="16"/>
      <c r="G14" s="17" t="str">
        <f aca="false">IF(F14="","",IF(F14&gt;600,"Sí","No"))</f>
        <v/>
      </c>
      <c r="H14" s="15"/>
      <c r="I14" s="15"/>
      <c r="J14" s="16"/>
      <c r="K14" s="14"/>
      <c r="L14" s="15"/>
      <c r="M14" s="15"/>
      <c r="N14" s="15"/>
    </row>
    <row r="15" customFormat="false" ht="15" hidden="false" customHeight="false" outlineLevel="0" collapsed="false">
      <c r="A15" s="1"/>
      <c r="B15" s="8" t="str">
        <f aca="false">IF(D15="","","L-"&amp;TEXT(ROW()-6,"000"))</f>
        <v/>
      </c>
      <c r="C15" s="9"/>
      <c r="D15" s="10"/>
      <c r="E15" s="10"/>
      <c r="F15" s="11"/>
      <c r="G15" s="12" t="str">
        <f aca="false">IF(F15="","",IF(F15&gt;600,"Sí","No"))</f>
        <v/>
      </c>
      <c r="H15" s="10"/>
      <c r="I15" s="10"/>
      <c r="J15" s="11"/>
      <c r="K15" s="9"/>
      <c r="L15" s="10"/>
      <c r="M15" s="10"/>
      <c r="N15" s="10"/>
    </row>
    <row r="16" customFormat="false" ht="15" hidden="false" customHeight="false" outlineLevel="0" collapsed="false">
      <c r="A16" s="1"/>
      <c r="B16" s="13" t="str">
        <f aca="false">IF(D16="","","L-"&amp;TEXT(ROW()-6,"000"))</f>
        <v/>
      </c>
      <c r="C16" s="14"/>
      <c r="D16" s="15"/>
      <c r="E16" s="15"/>
      <c r="F16" s="16"/>
      <c r="G16" s="17" t="str">
        <f aca="false">IF(F16="","",IF(F16&gt;600,"Sí","No"))</f>
        <v/>
      </c>
      <c r="H16" s="15"/>
      <c r="I16" s="15"/>
      <c r="J16" s="16"/>
      <c r="K16" s="14"/>
      <c r="L16" s="15"/>
      <c r="M16" s="15"/>
      <c r="N16" s="15"/>
    </row>
    <row r="17" customFormat="false" ht="15" hidden="false" customHeight="false" outlineLevel="0" collapsed="false">
      <c r="A17" s="1"/>
      <c r="B17" s="8" t="str">
        <f aca="false">IF(D17="","","L-"&amp;TEXT(ROW()-6,"000"))</f>
        <v/>
      </c>
      <c r="C17" s="9"/>
      <c r="D17" s="10"/>
      <c r="E17" s="10"/>
      <c r="F17" s="11"/>
      <c r="G17" s="12" t="str">
        <f aca="false">IF(F17="","",IF(F17&gt;600,"Sí","No"))</f>
        <v/>
      </c>
      <c r="H17" s="10"/>
      <c r="I17" s="10"/>
      <c r="J17" s="11"/>
      <c r="K17" s="9"/>
      <c r="L17" s="10"/>
      <c r="M17" s="10"/>
      <c r="N17" s="10"/>
    </row>
    <row r="18" customFormat="false" ht="15" hidden="false" customHeight="false" outlineLevel="0" collapsed="false">
      <c r="A18" s="1"/>
      <c r="B18" s="13" t="str">
        <f aca="false">IF(D18="","","L-"&amp;TEXT(ROW()-6,"000"))</f>
        <v/>
      </c>
      <c r="C18" s="14"/>
      <c r="D18" s="15"/>
      <c r="E18" s="15"/>
      <c r="F18" s="16"/>
      <c r="G18" s="17" t="str">
        <f aca="false">IF(F18="","",IF(F18&gt;600,"Sí","No"))</f>
        <v/>
      </c>
      <c r="H18" s="15"/>
      <c r="I18" s="15"/>
      <c r="J18" s="16"/>
      <c r="K18" s="14"/>
      <c r="L18" s="15"/>
      <c r="M18" s="15"/>
      <c r="N18" s="15"/>
    </row>
    <row r="19" customFormat="false" ht="15" hidden="false" customHeight="false" outlineLevel="0" collapsed="false">
      <c r="A19" s="1"/>
      <c r="B19" s="8" t="str">
        <f aca="false">IF(D19="","","L-"&amp;TEXT(ROW()-6,"000"))</f>
        <v/>
      </c>
      <c r="C19" s="9"/>
      <c r="D19" s="10"/>
      <c r="E19" s="10"/>
      <c r="F19" s="11"/>
      <c r="G19" s="12" t="str">
        <f aca="false">IF(F19="","",IF(F19&gt;600,"Sí","No"))</f>
        <v/>
      </c>
      <c r="H19" s="10"/>
      <c r="I19" s="10"/>
      <c r="J19" s="11"/>
      <c r="K19" s="9"/>
      <c r="L19" s="10"/>
      <c r="M19" s="10"/>
      <c r="N19" s="10"/>
    </row>
    <row r="20" customFormat="false" ht="15" hidden="false" customHeight="false" outlineLevel="0" collapsed="false">
      <c r="A20" s="1"/>
      <c r="B20" s="13" t="str">
        <f aca="false">IF(D20="","","L-"&amp;TEXT(ROW()-6,"000"))</f>
        <v/>
      </c>
      <c r="C20" s="14"/>
      <c r="D20" s="15"/>
      <c r="E20" s="15"/>
      <c r="F20" s="16"/>
      <c r="G20" s="17" t="str">
        <f aca="false">IF(F20="","",IF(F20&gt;600,"Sí","No"))</f>
        <v/>
      </c>
      <c r="H20" s="15"/>
      <c r="I20" s="15"/>
      <c r="J20" s="16"/>
      <c r="K20" s="14"/>
      <c r="L20" s="15"/>
      <c r="M20" s="15"/>
      <c r="N20" s="15"/>
    </row>
    <row r="21" customFormat="false" ht="15" hidden="false" customHeight="false" outlineLevel="0" collapsed="false">
      <c r="A21" s="1"/>
      <c r="B21" s="8" t="str">
        <f aca="false">IF(D21="","","L-"&amp;TEXT(ROW()-6,"000"))</f>
        <v/>
      </c>
      <c r="C21" s="9"/>
      <c r="D21" s="10"/>
      <c r="E21" s="10"/>
      <c r="F21" s="11"/>
      <c r="G21" s="12" t="str">
        <f aca="false">IF(F21="","",IF(F21&gt;600,"Sí","No"))</f>
        <v/>
      </c>
      <c r="H21" s="10"/>
      <c r="I21" s="10"/>
      <c r="J21" s="11"/>
      <c r="K21" s="9"/>
      <c r="L21" s="10"/>
      <c r="M21" s="10"/>
      <c r="N21" s="10"/>
    </row>
    <row r="22" customFormat="false" ht="15" hidden="false" customHeight="false" outlineLevel="0" collapsed="false">
      <c r="A22" s="1"/>
      <c r="B22" s="13" t="str">
        <f aca="false">IF(D22="","","L-"&amp;TEXT(ROW()-6,"000"))</f>
        <v/>
      </c>
      <c r="C22" s="14"/>
      <c r="D22" s="15"/>
      <c r="E22" s="15"/>
      <c r="F22" s="16"/>
      <c r="G22" s="17" t="str">
        <f aca="false">IF(F22="","",IF(F22&gt;600,"Sí","No"))</f>
        <v/>
      </c>
      <c r="H22" s="15"/>
      <c r="I22" s="15"/>
      <c r="J22" s="16"/>
      <c r="K22" s="14"/>
      <c r="L22" s="15"/>
      <c r="M22" s="15"/>
      <c r="N22" s="15"/>
    </row>
    <row r="23" customFormat="false" ht="15" hidden="false" customHeight="false" outlineLevel="0" collapsed="false">
      <c r="A23" s="1"/>
      <c r="B23" s="8" t="str">
        <f aca="false">IF(D23="","","L-"&amp;TEXT(ROW()-6,"000"))</f>
        <v/>
      </c>
      <c r="C23" s="9"/>
      <c r="D23" s="10"/>
      <c r="E23" s="10"/>
      <c r="F23" s="11"/>
      <c r="G23" s="12" t="str">
        <f aca="false">IF(F23="","",IF(F23&gt;600,"Sí","No"))</f>
        <v/>
      </c>
      <c r="H23" s="10"/>
      <c r="I23" s="10"/>
      <c r="J23" s="11"/>
      <c r="K23" s="9"/>
      <c r="L23" s="10"/>
      <c r="M23" s="10"/>
      <c r="N23" s="10"/>
    </row>
    <row r="24" customFormat="false" ht="15" hidden="false" customHeight="false" outlineLevel="0" collapsed="false">
      <c r="A24" s="1"/>
      <c r="B24" s="13" t="str">
        <f aca="false">IF(D24="","","L-"&amp;TEXT(ROW()-6,"000"))</f>
        <v/>
      </c>
      <c r="C24" s="14"/>
      <c r="D24" s="15"/>
      <c r="E24" s="15"/>
      <c r="F24" s="16"/>
      <c r="G24" s="17" t="str">
        <f aca="false">IF(F24="","",IF(F24&gt;600,"Sí","No"))</f>
        <v/>
      </c>
      <c r="H24" s="15"/>
      <c r="I24" s="15"/>
      <c r="J24" s="16"/>
      <c r="K24" s="14"/>
      <c r="L24" s="15"/>
      <c r="M24" s="15"/>
      <c r="N24" s="15"/>
    </row>
    <row r="25" customFormat="false" ht="15" hidden="false" customHeight="false" outlineLevel="0" collapsed="false">
      <c r="A25" s="1"/>
      <c r="B25" s="8" t="str">
        <f aca="false">IF(D25="","","L-"&amp;TEXT(ROW()-6,"000"))</f>
        <v/>
      </c>
      <c r="C25" s="9"/>
      <c r="D25" s="10"/>
      <c r="E25" s="10"/>
      <c r="F25" s="11"/>
      <c r="G25" s="12" t="str">
        <f aca="false">IF(F25="","",IF(F25&gt;600,"Sí","No"))</f>
        <v/>
      </c>
      <c r="H25" s="10"/>
      <c r="I25" s="10"/>
      <c r="J25" s="11"/>
      <c r="K25" s="9"/>
      <c r="L25" s="10"/>
      <c r="M25" s="10"/>
      <c r="N25" s="10"/>
    </row>
    <row r="26" customFormat="false" ht="15" hidden="false" customHeight="false" outlineLevel="0" collapsed="false">
      <c r="A26" s="1"/>
      <c r="B26" s="13" t="str">
        <f aca="false">IF(D26="","","L-"&amp;TEXT(ROW()-6,"000"))</f>
        <v/>
      </c>
      <c r="C26" s="14"/>
      <c r="D26" s="15"/>
      <c r="E26" s="15"/>
      <c r="F26" s="16"/>
      <c r="G26" s="17" t="str">
        <f aca="false">IF(F26="","",IF(F26&gt;600,"Sí","No"))</f>
        <v/>
      </c>
      <c r="H26" s="15"/>
      <c r="I26" s="15"/>
      <c r="J26" s="16"/>
      <c r="K26" s="14"/>
      <c r="L26" s="15"/>
      <c r="M26" s="15"/>
      <c r="N26" s="15"/>
    </row>
    <row r="27" customFormat="false" ht="15" hidden="false" customHeight="false" outlineLevel="0" collapsed="false">
      <c r="A27" s="1"/>
      <c r="B27" s="8" t="str">
        <f aca="false">IF(D27="","","L-"&amp;TEXT(ROW()-6,"000"))</f>
        <v/>
      </c>
      <c r="C27" s="9"/>
      <c r="D27" s="10"/>
      <c r="E27" s="10"/>
      <c r="F27" s="11"/>
      <c r="G27" s="12" t="str">
        <f aca="false">IF(F27="","",IF(F27&gt;600,"Sí","No"))</f>
        <v/>
      </c>
      <c r="H27" s="10"/>
      <c r="I27" s="10"/>
      <c r="J27" s="11"/>
      <c r="K27" s="9"/>
      <c r="L27" s="10"/>
      <c r="M27" s="10"/>
      <c r="N27" s="10"/>
    </row>
    <row r="28" customFormat="false" ht="15" hidden="false" customHeight="false" outlineLevel="0" collapsed="false">
      <c r="A28" s="1"/>
      <c r="B28" s="13" t="str">
        <f aca="false">IF(D28="","","L-"&amp;TEXT(ROW()-6,"000"))</f>
        <v/>
      </c>
      <c r="C28" s="14"/>
      <c r="D28" s="15"/>
      <c r="E28" s="15"/>
      <c r="F28" s="16"/>
      <c r="G28" s="17" t="str">
        <f aca="false">IF(F28="","",IF(F28&gt;600,"Sí","No"))</f>
        <v/>
      </c>
      <c r="H28" s="15"/>
      <c r="I28" s="15"/>
      <c r="J28" s="16"/>
      <c r="K28" s="14"/>
      <c r="L28" s="15"/>
      <c r="M28" s="15"/>
      <c r="N28" s="15"/>
    </row>
    <row r="29" customFormat="false" ht="15" hidden="false" customHeight="false" outlineLevel="0" collapsed="false">
      <c r="A29" s="1"/>
      <c r="B29" s="8" t="str">
        <f aca="false">IF(D29="","","L-"&amp;TEXT(ROW()-6,"000"))</f>
        <v/>
      </c>
      <c r="C29" s="9"/>
      <c r="D29" s="10"/>
      <c r="E29" s="10"/>
      <c r="F29" s="11"/>
      <c r="G29" s="12" t="str">
        <f aca="false">IF(F29="","",IF(F29&gt;600,"Sí","No"))</f>
        <v/>
      </c>
      <c r="H29" s="10"/>
      <c r="I29" s="10"/>
      <c r="J29" s="11"/>
      <c r="K29" s="9"/>
      <c r="L29" s="10"/>
      <c r="M29" s="10"/>
      <c r="N29" s="10"/>
    </row>
    <row r="30" customFormat="false" ht="15" hidden="false" customHeight="false" outlineLevel="0" collapsed="false">
      <c r="A30" s="1"/>
      <c r="B30" s="13" t="str">
        <f aca="false">IF(D30="","","L-"&amp;TEXT(ROW()-6,"000"))</f>
        <v/>
      </c>
      <c r="C30" s="14"/>
      <c r="D30" s="15"/>
      <c r="E30" s="15"/>
      <c r="F30" s="16"/>
      <c r="G30" s="17" t="str">
        <f aca="false">IF(F30="","",IF(F30&gt;600,"Sí","No"))</f>
        <v/>
      </c>
      <c r="H30" s="15"/>
      <c r="I30" s="15"/>
      <c r="J30" s="16"/>
      <c r="K30" s="14"/>
      <c r="L30" s="15"/>
      <c r="M30" s="15"/>
      <c r="N30" s="15"/>
    </row>
    <row r="31" customFormat="false" ht="15" hidden="false" customHeight="false" outlineLevel="0" collapsed="false">
      <c r="A31" s="1"/>
      <c r="B31" s="8" t="str">
        <f aca="false">IF(D31="","","L-"&amp;TEXT(ROW()-6,"000"))</f>
        <v/>
      </c>
      <c r="C31" s="9"/>
      <c r="D31" s="10"/>
      <c r="E31" s="10"/>
      <c r="F31" s="11"/>
      <c r="G31" s="12" t="str">
        <f aca="false">IF(F31="","",IF(F31&gt;600,"Sí","No"))</f>
        <v/>
      </c>
      <c r="H31" s="10"/>
      <c r="I31" s="10"/>
      <c r="J31" s="11"/>
      <c r="K31" s="9"/>
      <c r="L31" s="10"/>
      <c r="M31" s="10"/>
      <c r="N31" s="10"/>
    </row>
    <row r="32" customFormat="false" ht="15" hidden="false" customHeight="false" outlineLevel="0" collapsed="false">
      <c r="A32" s="1"/>
      <c r="B32" s="13" t="str">
        <f aca="false">IF(D32="","","L-"&amp;TEXT(ROW()-6,"000"))</f>
        <v/>
      </c>
      <c r="C32" s="14"/>
      <c r="D32" s="15"/>
      <c r="E32" s="15"/>
      <c r="F32" s="16"/>
      <c r="G32" s="17" t="str">
        <f aca="false">IF(F32="","",IF(F32&gt;600,"Sí","No"))</f>
        <v/>
      </c>
      <c r="H32" s="15"/>
      <c r="I32" s="15"/>
      <c r="J32" s="16"/>
      <c r="K32" s="14"/>
      <c r="L32" s="15"/>
      <c r="M32" s="15"/>
      <c r="N32" s="15"/>
    </row>
    <row r="33" customFormat="false" ht="15" hidden="false" customHeight="false" outlineLevel="0" collapsed="false">
      <c r="A33" s="1"/>
      <c r="B33" s="8" t="str">
        <f aca="false">IF(D33="","","L-"&amp;TEXT(ROW()-6,"000"))</f>
        <v/>
      </c>
      <c r="C33" s="9"/>
      <c r="D33" s="10"/>
      <c r="E33" s="10"/>
      <c r="F33" s="11"/>
      <c r="G33" s="12" t="str">
        <f aca="false">IF(F33="","",IF(F33&gt;600,"Sí","No"))</f>
        <v/>
      </c>
      <c r="H33" s="10"/>
      <c r="I33" s="10"/>
      <c r="J33" s="11"/>
      <c r="K33" s="9"/>
      <c r="L33" s="10"/>
      <c r="M33" s="10"/>
      <c r="N33" s="10"/>
    </row>
    <row r="34" customFormat="false" ht="15" hidden="false" customHeight="false" outlineLevel="0" collapsed="false">
      <c r="A34" s="1"/>
      <c r="B34" s="13" t="str">
        <f aca="false">IF(D34="","","L-"&amp;TEXT(ROW()-6,"000"))</f>
        <v/>
      </c>
      <c r="C34" s="14"/>
      <c r="D34" s="15"/>
      <c r="E34" s="15"/>
      <c r="F34" s="16"/>
      <c r="G34" s="17" t="str">
        <f aca="false">IF(F34="","",IF(F34&gt;600,"Sí","No"))</f>
        <v/>
      </c>
      <c r="H34" s="15"/>
      <c r="I34" s="15"/>
      <c r="J34" s="16"/>
      <c r="K34" s="14"/>
      <c r="L34" s="15"/>
      <c r="M34" s="15"/>
      <c r="N34" s="15"/>
    </row>
    <row r="35" customFormat="false" ht="15" hidden="false" customHeight="false" outlineLevel="0" collapsed="false">
      <c r="A35" s="1"/>
      <c r="B35" s="8" t="str">
        <f aca="false">IF(D35="","","L-"&amp;TEXT(ROW()-6,"000"))</f>
        <v/>
      </c>
      <c r="C35" s="9"/>
      <c r="D35" s="10"/>
      <c r="E35" s="10"/>
      <c r="F35" s="11"/>
      <c r="G35" s="12" t="str">
        <f aca="false">IF(F35="","",IF(F35&gt;600,"Sí","No"))</f>
        <v/>
      </c>
      <c r="H35" s="10"/>
      <c r="I35" s="10"/>
      <c r="J35" s="11"/>
      <c r="K35" s="9"/>
      <c r="L35" s="10"/>
      <c r="M35" s="10"/>
      <c r="N35" s="10"/>
    </row>
    <row r="36" customFormat="false" ht="15" hidden="false" customHeight="false" outlineLevel="0" collapsed="false">
      <c r="A36" s="1"/>
      <c r="B36" s="13" t="str">
        <f aca="false">IF(D36="","","L-"&amp;TEXT(ROW()-6,"000"))</f>
        <v/>
      </c>
      <c r="C36" s="14"/>
      <c r="D36" s="15"/>
      <c r="E36" s="15"/>
      <c r="F36" s="16"/>
      <c r="G36" s="17" t="str">
        <f aca="false">IF(F36="","",IF(F36&gt;600,"Sí","No"))</f>
        <v/>
      </c>
      <c r="H36" s="15"/>
      <c r="I36" s="15"/>
      <c r="J36" s="16"/>
      <c r="K36" s="14"/>
      <c r="L36" s="15"/>
      <c r="M36" s="15"/>
      <c r="N36" s="15"/>
    </row>
    <row r="37" customFormat="false" ht="15" hidden="false" customHeight="false" outlineLevel="0" collapsed="false">
      <c r="A37" s="1"/>
      <c r="B37" s="8" t="str">
        <f aca="false">IF(D37="","","L-"&amp;TEXT(ROW()-6,"000"))</f>
        <v/>
      </c>
      <c r="C37" s="9"/>
      <c r="D37" s="10"/>
      <c r="E37" s="10"/>
      <c r="F37" s="11"/>
      <c r="G37" s="12" t="str">
        <f aca="false">IF(F37="","",IF(F37&gt;600,"Sí","No"))</f>
        <v/>
      </c>
      <c r="H37" s="10"/>
      <c r="I37" s="10"/>
      <c r="J37" s="11"/>
      <c r="K37" s="9"/>
      <c r="L37" s="10"/>
      <c r="M37" s="10"/>
      <c r="N37" s="10"/>
    </row>
    <row r="38" customFormat="false" ht="15" hidden="false" customHeight="false" outlineLevel="0" collapsed="false">
      <c r="A38" s="1"/>
      <c r="B38" s="13" t="str">
        <f aca="false">IF(D38="","","L-"&amp;TEXT(ROW()-6,"000"))</f>
        <v/>
      </c>
      <c r="C38" s="14"/>
      <c r="D38" s="15"/>
      <c r="E38" s="15"/>
      <c r="F38" s="16"/>
      <c r="G38" s="17" t="str">
        <f aca="false">IF(F38="","",IF(F38&gt;600,"Sí","No"))</f>
        <v/>
      </c>
      <c r="H38" s="15"/>
      <c r="I38" s="15"/>
      <c r="J38" s="16"/>
      <c r="K38" s="14"/>
      <c r="L38" s="15"/>
      <c r="M38" s="15"/>
      <c r="N38" s="15"/>
    </row>
    <row r="39" customFormat="false" ht="15" hidden="false" customHeight="false" outlineLevel="0" collapsed="false">
      <c r="A39" s="1"/>
      <c r="B39" s="8" t="str">
        <f aca="false">IF(D39="","","L-"&amp;TEXT(ROW()-6,"000"))</f>
        <v/>
      </c>
      <c r="C39" s="9"/>
      <c r="D39" s="10"/>
      <c r="E39" s="10"/>
      <c r="F39" s="11"/>
      <c r="G39" s="12" t="str">
        <f aca="false">IF(F39="","",IF(F39&gt;600,"Sí","No"))</f>
        <v/>
      </c>
      <c r="H39" s="10"/>
      <c r="I39" s="10"/>
      <c r="J39" s="11"/>
      <c r="K39" s="9"/>
      <c r="L39" s="10"/>
      <c r="M39" s="10"/>
      <c r="N39" s="10"/>
    </row>
    <row r="40" customFormat="false" ht="15" hidden="false" customHeight="false" outlineLevel="0" collapsed="false">
      <c r="A40" s="1"/>
      <c r="B40" s="13" t="str">
        <f aca="false">IF(D40="","","L-"&amp;TEXT(ROW()-6,"000"))</f>
        <v/>
      </c>
      <c r="C40" s="14"/>
      <c r="D40" s="15"/>
      <c r="E40" s="15"/>
      <c r="F40" s="16"/>
      <c r="G40" s="17" t="str">
        <f aca="false">IF(F40="","",IF(F40&gt;600,"Sí","No"))</f>
        <v/>
      </c>
      <c r="H40" s="15"/>
      <c r="I40" s="15"/>
      <c r="J40" s="16"/>
      <c r="K40" s="14"/>
      <c r="L40" s="15"/>
      <c r="M40" s="15"/>
      <c r="N40" s="15"/>
    </row>
    <row r="41" customFormat="false" ht="15" hidden="false" customHeight="false" outlineLevel="0" collapsed="false">
      <c r="A41" s="1"/>
      <c r="B41" s="8" t="str">
        <f aca="false">IF(D41="","","L-"&amp;TEXT(ROW()-6,"000"))</f>
        <v/>
      </c>
      <c r="C41" s="9"/>
      <c r="D41" s="10"/>
      <c r="E41" s="10"/>
      <c r="F41" s="11"/>
      <c r="G41" s="12" t="str">
        <f aca="false">IF(F41="","",IF(F41&gt;600,"Sí","No"))</f>
        <v/>
      </c>
      <c r="H41" s="10"/>
      <c r="I41" s="10"/>
      <c r="J41" s="11"/>
      <c r="K41" s="9"/>
      <c r="L41" s="10"/>
      <c r="M41" s="10"/>
      <c r="N41" s="10"/>
    </row>
    <row r="42" customFormat="false" ht="15" hidden="false" customHeight="false" outlineLevel="0" collapsed="false">
      <c r="A42" s="1"/>
      <c r="B42" s="13" t="str">
        <f aca="false">IF(D42="","","L-"&amp;TEXT(ROW()-6,"000"))</f>
        <v/>
      </c>
      <c r="C42" s="14"/>
      <c r="D42" s="15"/>
      <c r="E42" s="15"/>
      <c r="F42" s="16"/>
      <c r="G42" s="17" t="str">
        <f aca="false">IF(F42="","",IF(F42&gt;600,"Sí","No"))</f>
        <v/>
      </c>
      <c r="H42" s="15"/>
      <c r="I42" s="15"/>
      <c r="J42" s="16"/>
      <c r="K42" s="14"/>
      <c r="L42" s="15"/>
      <c r="M42" s="15"/>
      <c r="N42" s="15"/>
    </row>
    <row r="43" customFormat="false" ht="15" hidden="false" customHeight="false" outlineLevel="0" collapsed="false">
      <c r="A43" s="1"/>
      <c r="B43" s="8" t="str">
        <f aca="false">IF(D43="","","L-"&amp;TEXT(ROW()-6,"000"))</f>
        <v/>
      </c>
      <c r="C43" s="9"/>
      <c r="D43" s="10"/>
      <c r="E43" s="10"/>
      <c r="F43" s="11"/>
      <c r="G43" s="12" t="str">
        <f aca="false">IF(F43="","",IF(F43&gt;600,"Sí","No"))</f>
        <v/>
      </c>
      <c r="H43" s="10"/>
      <c r="I43" s="10"/>
      <c r="J43" s="11"/>
      <c r="K43" s="9"/>
      <c r="L43" s="10"/>
      <c r="M43" s="10"/>
      <c r="N43" s="10"/>
    </row>
    <row r="44" customFormat="false" ht="15" hidden="false" customHeight="false" outlineLevel="0" collapsed="false">
      <c r="A44" s="1"/>
      <c r="B44" s="13" t="str">
        <f aca="false">IF(D44="","","L-"&amp;TEXT(ROW()-6,"000"))</f>
        <v/>
      </c>
      <c r="C44" s="14"/>
      <c r="D44" s="15"/>
      <c r="E44" s="15"/>
      <c r="F44" s="16"/>
      <c r="G44" s="17" t="str">
        <f aca="false">IF(F44="","",IF(F44&gt;600,"Sí","No"))</f>
        <v/>
      </c>
      <c r="H44" s="15"/>
      <c r="I44" s="15"/>
      <c r="J44" s="16"/>
      <c r="K44" s="14"/>
      <c r="L44" s="15"/>
      <c r="M44" s="15"/>
      <c r="N44" s="15"/>
    </row>
    <row r="45" customFormat="false" ht="15" hidden="false" customHeight="false" outlineLevel="0" collapsed="false">
      <c r="A45" s="1"/>
      <c r="B45" s="8" t="str">
        <f aca="false">IF(D45="","","L-"&amp;TEXT(ROW()-6,"000"))</f>
        <v/>
      </c>
      <c r="C45" s="9"/>
      <c r="D45" s="10"/>
      <c r="E45" s="10"/>
      <c r="F45" s="11"/>
      <c r="G45" s="12" t="str">
        <f aca="false">IF(F45="","",IF(F45&gt;600,"Sí","No"))</f>
        <v/>
      </c>
      <c r="H45" s="10"/>
      <c r="I45" s="10"/>
      <c r="J45" s="11"/>
      <c r="K45" s="9"/>
      <c r="L45" s="10"/>
      <c r="M45" s="10"/>
      <c r="N45" s="10"/>
    </row>
    <row r="46" customFormat="false" ht="15" hidden="false" customHeight="false" outlineLevel="0" collapsed="false">
      <c r="A46" s="1"/>
      <c r="B46" s="13" t="str">
        <f aca="false">IF(D46="","","L-"&amp;TEXT(ROW()-6,"000"))</f>
        <v/>
      </c>
      <c r="C46" s="14"/>
      <c r="D46" s="15"/>
      <c r="E46" s="15"/>
      <c r="F46" s="16"/>
      <c r="G46" s="17" t="str">
        <f aca="false">IF(F46="","",IF(F46&gt;600,"Sí","No"))</f>
        <v/>
      </c>
      <c r="H46" s="15"/>
      <c r="I46" s="15"/>
      <c r="J46" s="16"/>
      <c r="K46" s="14"/>
      <c r="L46" s="15"/>
      <c r="M46" s="15"/>
      <c r="N46" s="15"/>
    </row>
    <row r="47" customFormat="false" ht="15" hidden="false" customHeight="false" outlineLevel="0" collapsed="false">
      <c r="A47" s="1"/>
      <c r="B47" s="8" t="str">
        <f aca="false">IF(D47="","","L-"&amp;TEXT(ROW()-6,"000"))</f>
        <v/>
      </c>
      <c r="C47" s="9"/>
      <c r="D47" s="10"/>
      <c r="E47" s="10"/>
      <c r="F47" s="11"/>
      <c r="G47" s="12" t="str">
        <f aca="false">IF(F47="","",IF(F47&gt;600,"Sí","No"))</f>
        <v/>
      </c>
      <c r="H47" s="10"/>
      <c r="I47" s="10"/>
      <c r="J47" s="11"/>
      <c r="K47" s="9"/>
      <c r="L47" s="10"/>
      <c r="M47" s="10"/>
      <c r="N47" s="10"/>
    </row>
    <row r="48" customFormat="false" ht="15" hidden="false" customHeight="false" outlineLevel="0" collapsed="false">
      <c r="A48" s="1"/>
      <c r="B48" s="13" t="str">
        <f aca="false">IF(D48="","","L-"&amp;TEXT(ROW()-6,"000"))</f>
        <v/>
      </c>
      <c r="C48" s="14"/>
      <c r="D48" s="15"/>
      <c r="E48" s="15"/>
      <c r="F48" s="16"/>
      <c r="G48" s="17" t="str">
        <f aca="false">IF(F48="","",IF(F48&gt;600,"Sí","No"))</f>
        <v/>
      </c>
      <c r="H48" s="15"/>
      <c r="I48" s="15"/>
      <c r="J48" s="16"/>
      <c r="K48" s="14"/>
      <c r="L48" s="15"/>
      <c r="M48" s="15"/>
      <c r="N48" s="15"/>
    </row>
    <row r="49" customFormat="false" ht="15" hidden="false" customHeight="false" outlineLevel="0" collapsed="false">
      <c r="A49" s="1"/>
      <c r="B49" s="8" t="str">
        <f aca="false">IF(D49="","","L-"&amp;TEXT(ROW()-6,"000"))</f>
        <v/>
      </c>
      <c r="C49" s="9"/>
      <c r="D49" s="10"/>
      <c r="E49" s="10"/>
      <c r="F49" s="11"/>
      <c r="G49" s="12" t="str">
        <f aca="false">IF(F49="","",IF(F49&gt;600,"Sí","No"))</f>
        <v/>
      </c>
      <c r="H49" s="10"/>
      <c r="I49" s="10"/>
      <c r="J49" s="11"/>
      <c r="K49" s="9"/>
      <c r="L49" s="10"/>
      <c r="M49" s="10"/>
      <c r="N49" s="10"/>
    </row>
    <row r="50" customFormat="false" ht="15" hidden="false" customHeight="false" outlineLevel="0" collapsed="false">
      <c r="A50" s="1"/>
      <c r="B50" s="13" t="str">
        <f aca="false">IF(D50="","","L-"&amp;TEXT(ROW()-6,"000"))</f>
        <v/>
      </c>
      <c r="C50" s="14"/>
      <c r="D50" s="15"/>
      <c r="E50" s="15"/>
      <c r="F50" s="16"/>
      <c r="G50" s="17" t="str">
        <f aca="false">IF(F50="","",IF(F50&gt;600,"Sí","No"))</f>
        <v/>
      </c>
      <c r="H50" s="15"/>
      <c r="I50" s="15"/>
      <c r="J50" s="16"/>
      <c r="K50" s="14"/>
      <c r="L50" s="15"/>
      <c r="M50" s="15"/>
      <c r="N50" s="15"/>
    </row>
    <row r="51" customFormat="false" ht="15" hidden="false" customHeight="false" outlineLevel="0" collapsed="false">
      <c r="A51" s="1"/>
      <c r="B51" s="8" t="str">
        <f aca="false">IF(D51="","","L-"&amp;TEXT(ROW()-6,"000"))</f>
        <v/>
      </c>
      <c r="C51" s="9"/>
      <c r="D51" s="10"/>
      <c r="E51" s="10"/>
      <c r="F51" s="11"/>
      <c r="G51" s="12" t="str">
        <f aca="false">IF(F51="","",IF(F51&gt;600,"Sí","No"))</f>
        <v/>
      </c>
      <c r="H51" s="10"/>
      <c r="I51" s="10"/>
      <c r="J51" s="11"/>
      <c r="K51" s="9"/>
      <c r="L51" s="10"/>
      <c r="M51" s="10"/>
      <c r="N51" s="10"/>
    </row>
    <row r="52" customFormat="false" ht="15" hidden="false" customHeight="false" outlineLevel="0" collapsed="false">
      <c r="A52" s="1"/>
      <c r="B52" s="13" t="str">
        <f aca="false">IF(D52="","","L-"&amp;TEXT(ROW()-6,"000"))</f>
        <v/>
      </c>
      <c r="C52" s="14"/>
      <c r="D52" s="15"/>
      <c r="E52" s="15"/>
      <c r="F52" s="16"/>
      <c r="G52" s="17" t="str">
        <f aca="false">IF(F52="","",IF(F52&gt;600,"Sí","No"))</f>
        <v/>
      </c>
      <c r="H52" s="15"/>
      <c r="I52" s="15"/>
      <c r="J52" s="16"/>
      <c r="K52" s="14"/>
      <c r="L52" s="15"/>
      <c r="M52" s="15"/>
      <c r="N52" s="15"/>
    </row>
    <row r="53" customFormat="false" ht="15" hidden="false" customHeight="false" outlineLevel="0" collapsed="false">
      <c r="A53" s="1"/>
      <c r="B53" s="8" t="str">
        <f aca="false">IF(D53="","","L-"&amp;TEXT(ROW()-6,"000"))</f>
        <v/>
      </c>
      <c r="C53" s="9"/>
      <c r="D53" s="10"/>
      <c r="E53" s="10"/>
      <c r="F53" s="11"/>
      <c r="G53" s="12" t="str">
        <f aca="false">IF(F53="","",IF(F53&gt;600,"Sí","No"))</f>
        <v/>
      </c>
      <c r="H53" s="10"/>
      <c r="I53" s="10"/>
      <c r="J53" s="11"/>
      <c r="K53" s="9"/>
      <c r="L53" s="10"/>
      <c r="M53" s="10"/>
      <c r="N53" s="10"/>
    </row>
    <row r="54" customFormat="false" ht="15" hidden="false" customHeight="false" outlineLevel="0" collapsed="false">
      <c r="A54" s="1"/>
      <c r="B54" s="13" t="str">
        <f aca="false">IF(D54="","","L-"&amp;TEXT(ROW()-6,"000"))</f>
        <v/>
      </c>
      <c r="C54" s="14"/>
      <c r="D54" s="15"/>
      <c r="E54" s="15"/>
      <c r="F54" s="16"/>
      <c r="G54" s="17" t="str">
        <f aca="false">IF(F54="","",IF(F54&gt;600,"Sí","No"))</f>
        <v/>
      </c>
      <c r="H54" s="15"/>
      <c r="I54" s="15"/>
      <c r="J54" s="16"/>
      <c r="K54" s="14"/>
      <c r="L54" s="15"/>
      <c r="M54" s="15"/>
      <c r="N54" s="15"/>
    </row>
    <row r="55" customFormat="false" ht="15" hidden="false" customHeight="false" outlineLevel="0" collapsed="false">
      <c r="A55" s="1"/>
      <c r="B55" s="8" t="str">
        <f aca="false">IF(D55="","","L-"&amp;TEXT(ROW()-6,"000"))</f>
        <v/>
      </c>
      <c r="C55" s="9"/>
      <c r="D55" s="10"/>
      <c r="E55" s="10"/>
      <c r="F55" s="11"/>
      <c r="G55" s="12" t="str">
        <f aca="false">IF(F55="","",IF(F55&gt;600,"Sí","No"))</f>
        <v/>
      </c>
      <c r="H55" s="10"/>
      <c r="I55" s="10"/>
      <c r="J55" s="11"/>
      <c r="K55" s="9"/>
      <c r="L55" s="10"/>
      <c r="M55" s="10"/>
      <c r="N55" s="10"/>
    </row>
    <row r="56" customFormat="false" ht="15" hidden="false" customHeight="false" outlineLevel="0" collapsed="false">
      <c r="A56" s="1"/>
      <c r="B56" s="13" t="str">
        <f aca="false">IF(D56="","","L-"&amp;TEXT(ROW()-6,"000"))</f>
        <v/>
      </c>
      <c r="C56" s="14"/>
      <c r="D56" s="15"/>
      <c r="E56" s="15"/>
      <c r="F56" s="16"/>
      <c r="G56" s="17" t="str">
        <f aca="false">IF(F56="","",IF(F56&gt;600,"Sí","No"))</f>
        <v/>
      </c>
      <c r="H56" s="15"/>
      <c r="I56" s="15"/>
      <c r="J56" s="16"/>
      <c r="K56" s="14"/>
      <c r="L56" s="15"/>
      <c r="M56" s="15"/>
      <c r="N56" s="15"/>
    </row>
    <row r="57" customFormat="false" ht="15" hidden="false" customHeight="false" outlineLevel="0" collapsed="false">
      <c r="A57" s="1"/>
      <c r="B57" s="8" t="str">
        <f aca="false">IF(D57="","","L-"&amp;TEXT(ROW()-6,"000"))</f>
        <v/>
      </c>
      <c r="C57" s="9"/>
      <c r="D57" s="10"/>
      <c r="E57" s="10"/>
      <c r="F57" s="11"/>
      <c r="G57" s="12" t="str">
        <f aca="false">IF(F57="","",IF(F57&gt;600,"Sí","No"))</f>
        <v/>
      </c>
      <c r="H57" s="10"/>
      <c r="I57" s="10"/>
      <c r="J57" s="11"/>
      <c r="K57" s="9"/>
      <c r="L57" s="10"/>
      <c r="M57" s="10"/>
      <c r="N57" s="10"/>
    </row>
    <row r="58" customFormat="false" ht="15" hidden="false" customHeight="false" outlineLevel="0" collapsed="false">
      <c r="A58" s="1"/>
      <c r="B58" s="13" t="str">
        <f aca="false">IF(D58="","","L-"&amp;TEXT(ROW()-6,"000"))</f>
        <v/>
      </c>
      <c r="C58" s="14"/>
      <c r="D58" s="15"/>
      <c r="E58" s="15"/>
      <c r="F58" s="16"/>
      <c r="G58" s="17" t="str">
        <f aca="false">IF(F58="","",IF(F58&gt;600,"Sí","No"))</f>
        <v/>
      </c>
      <c r="H58" s="15"/>
      <c r="I58" s="15"/>
      <c r="J58" s="16"/>
      <c r="K58" s="14"/>
      <c r="L58" s="15"/>
      <c r="M58" s="15"/>
      <c r="N58" s="15"/>
    </row>
    <row r="59" customFormat="false" ht="15" hidden="false" customHeight="false" outlineLevel="0" collapsed="false">
      <c r="A59" s="1"/>
      <c r="B59" s="8" t="str">
        <f aca="false">IF(D59="","","L-"&amp;TEXT(ROW()-6,"000"))</f>
        <v/>
      </c>
      <c r="C59" s="9"/>
      <c r="D59" s="10"/>
      <c r="E59" s="10"/>
      <c r="F59" s="11"/>
      <c r="G59" s="12" t="str">
        <f aca="false">IF(F59="","",IF(F59&gt;600,"Sí","No"))</f>
        <v/>
      </c>
      <c r="H59" s="10"/>
      <c r="I59" s="10"/>
      <c r="J59" s="11"/>
      <c r="K59" s="9"/>
      <c r="L59" s="10"/>
      <c r="M59" s="10"/>
      <c r="N59" s="10"/>
    </row>
    <row r="60" customFormat="false" ht="15" hidden="false" customHeight="false" outlineLevel="0" collapsed="false">
      <c r="A60" s="1"/>
      <c r="B60" s="13" t="str">
        <f aca="false">IF(D60="","","L-"&amp;TEXT(ROW()-6,"000"))</f>
        <v/>
      </c>
      <c r="C60" s="14"/>
      <c r="D60" s="15"/>
      <c r="E60" s="15"/>
      <c r="F60" s="16"/>
      <c r="G60" s="17" t="str">
        <f aca="false">IF(F60="","",IF(F60&gt;600,"Sí","No"))</f>
        <v/>
      </c>
      <c r="H60" s="15"/>
      <c r="I60" s="15"/>
      <c r="J60" s="16"/>
      <c r="K60" s="14"/>
      <c r="L60" s="15"/>
      <c r="M60" s="15"/>
      <c r="N60" s="15"/>
    </row>
    <row r="61" customFormat="false" ht="15" hidden="false" customHeight="false" outlineLevel="0" collapsed="false">
      <c r="A61" s="1"/>
      <c r="B61" s="8" t="str">
        <f aca="false">IF(D61="","","L-"&amp;TEXT(ROW()-6,"000"))</f>
        <v/>
      </c>
      <c r="C61" s="9"/>
      <c r="D61" s="10"/>
      <c r="E61" s="10"/>
      <c r="F61" s="11"/>
      <c r="G61" s="12" t="str">
        <f aca="false">IF(F61="","",IF(F61&gt;600,"Sí","No"))</f>
        <v/>
      </c>
      <c r="H61" s="10"/>
      <c r="I61" s="10"/>
      <c r="J61" s="11"/>
      <c r="K61" s="9"/>
      <c r="L61" s="10"/>
      <c r="M61" s="10"/>
      <c r="N61" s="10"/>
    </row>
    <row r="62" customFormat="false" ht="15" hidden="false" customHeight="false" outlineLevel="0" collapsed="false">
      <c r="A62" s="1"/>
      <c r="B62" s="13" t="str">
        <f aca="false">IF(D62="","","L-"&amp;TEXT(ROW()-6,"000"))</f>
        <v/>
      </c>
      <c r="C62" s="14"/>
      <c r="D62" s="15"/>
      <c r="E62" s="15"/>
      <c r="F62" s="16"/>
      <c r="G62" s="17" t="str">
        <f aca="false">IF(F62="","",IF(F62&gt;600,"Sí","No"))</f>
        <v/>
      </c>
      <c r="H62" s="15"/>
      <c r="I62" s="15"/>
      <c r="J62" s="16"/>
      <c r="K62" s="14"/>
      <c r="L62" s="15"/>
      <c r="M62" s="15"/>
      <c r="N62" s="15"/>
    </row>
    <row r="63" customFormat="false" ht="15" hidden="false" customHeight="false" outlineLevel="0" collapsed="false">
      <c r="A63" s="1"/>
      <c r="B63" s="8" t="str">
        <f aca="false">IF(D63="","","L-"&amp;TEXT(ROW()-6,"000"))</f>
        <v/>
      </c>
      <c r="C63" s="9"/>
      <c r="D63" s="10"/>
      <c r="E63" s="10"/>
      <c r="F63" s="11"/>
      <c r="G63" s="12" t="str">
        <f aca="false">IF(F63="","",IF(F63&gt;600,"Sí","No"))</f>
        <v/>
      </c>
      <c r="H63" s="10"/>
      <c r="I63" s="10"/>
      <c r="J63" s="11"/>
      <c r="K63" s="9"/>
      <c r="L63" s="10"/>
      <c r="M63" s="10"/>
      <c r="N63" s="10"/>
    </row>
    <row r="64" customFormat="false" ht="15" hidden="false" customHeight="false" outlineLevel="0" collapsed="false">
      <c r="A64" s="1"/>
      <c r="B64" s="13" t="str">
        <f aca="false">IF(D64="","","L-"&amp;TEXT(ROW()-6,"000"))</f>
        <v/>
      </c>
      <c r="C64" s="14"/>
      <c r="D64" s="15"/>
      <c r="E64" s="15"/>
      <c r="F64" s="16"/>
      <c r="G64" s="17" t="str">
        <f aca="false">IF(F64="","",IF(F64&gt;600,"Sí","No"))</f>
        <v/>
      </c>
      <c r="H64" s="15"/>
      <c r="I64" s="15"/>
      <c r="J64" s="16"/>
      <c r="K64" s="14"/>
      <c r="L64" s="15"/>
      <c r="M64" s="15"/>
      <c r="N64" s="15"/>
    </row>
    <row r="65" customFormat="false" ht="15" hidden="false" customHeight="false" outlineLevel="0" collapsed="false">
      <c r="A65" s="1"/>
      <c r="B65" s="8" t="str">
        <f aca="false">IF(D65="","","L-"&amp;TEXT(ROW()-6,"000"))</f>
        <v/>
      </c>
      <c r="C65" s="9"/>
      <c r="D65" s="10"/>
      <c r="E65" s="10"/>
      <c r="F65" s="11"/>
      <c r="G65" s="12" t="str">
        <f aca="false">IF(F65="","",IF(F65&gt;600,"Sí","No"))</f>
        <v/>
      </c>
      <c r="H65" s="10"/>
      <c r="I65" s="10"/>
      <c r="J65" s="11"/>
      <c r="K65" s="9"/>
      <c r="L65" s="10"/>
      <c r="M65" s="10"/>
      <c r="N65" s="10"/>
    </row>
    <row r="66" customFormat="false" ht="15" hidden="false" customHeight="false" outlineLevel="0" collapsed="false">
      <c r="A66" s="1"/>
      <c r="B66" s="13" t="str">
        <f aca="false">IF(D66="","","L-"&amp;TEXT(ROW()-6,"000"))</f>
        <v/>
      </c>
      <c r="C66" s="14"/>
      <c r="D66" s="15"/>
      <c r="E66" s="15"/>
      <c r="F66" s="16"/>
      <c r="G66" s="17" t="str">
        <f aca="false">IF(F66="","",IF(F66&gt;600,"Sí","No"))</f>
        <v/>
      </c>
      <c r="H66" s="15"/>
      <c r="I66" s="15"/>
      <c r="J66" s="16"/>
      <c r="K66" s="14"/>
      <c r="L66" s="15"/>
      <c r="M66" s="15"/>
      <c r="N66" s="15"/>
    </row>
    <row r="67" customFormat="false" ht="15" hidden="false" customHeight="false" outlineLevel="0" collapsed="false">
      <c r="A67" s="1"/>
      <c r="B67" s="8" t="str">
        <f aca="false">IF(D67="","","L-"&amp;TEXT(ROW()-6,"000"))</f>
        <v/>
      </c>
      <c r="C67" s="9"/>
      <c r="D67" s="10"/>
      <c r="E67" s="10"/>
      <c r="F67" s="11"/>
      <c r="G67" s="12" t="str">
        <f aca="false">IF(F67="","",IF(F67&gt;600,"Sí","No"))</f>
        <v/>
      </c>
      <c r="H67" s="10"/>
      <c r="I67" s="10"/>
      <c r="J67" s="11"/>
      <c r="K67" s="9"/>
      <c r="L67" s="10"/>
      <c r="M67" s="10"/>
      <c r="N67" s="10"/>
    </row>
    <row r="68" customFormat="false" ht="15" hidden="false" customHeight="false" outlineLevel="0" collapsed="false">
      <c r="A68" s="1"/>
      <c r="B68" s="13" t="str">
        <f aca="false">IF(D68="","","L-"&amp;TEXT(ROW()-6,"000"))</f>
        <v/>
      </c>
      <c r="C68" s="14"/>
      <c r="D68" s="15"/>
      <c r="E68" s="15"/>
      <c r="F68" s="16"/>
      <c r="G68" s="17" t="str">
        <f aca="false">IF(F68="","",IF(F68&gt;600,"Sí","No"))</f>
        <v/>
      </c>
      <c r="H68" s="15"/>
      <c r="I68" s="15"/>
      <c r="J68" s="16"/>
      <c r="K68" s="14"/>
      <c r="L68" s="15"/>
      <c r="M68" s="15"/>
      <c r="N68" s="15"/>
    </row>
    <row r="69" customFormat="false" ht="15" hidden="false" customHeight="false" outlineLevel="0" collapsed="false">
      <c r="A69" s="1"/>
      <c r="B69" s="8" t="str">
        <f aca="false">IF(D69="","","L-"&amp;TEXT(ROW()-6,"000"))</f>
        <v/>
      </c>
      <c r="C69" s="9"/>
      <c r="D69" s="10"/>
      <c r="E69" s="10"/>
      <c r="F69" s="11"/>
      <c r="G69" s="12" t="str">
        <f aca="false">IF(F69="","",IF(F69&gt;600,"Sí","No"))</f>
        <v/>
      </c>
      <c r="H69" s="10"/>
      <c r="I69" s="10"/>
      <c r="J69" s="11"/>
      <c r="K69" s="9"/>
      <c r="L69" s="10"/>
      <c r="M69" s="10"/>
      <c r="N69" s="10"/>
    </row>
    <row r="70" customFormat="false" ht="15" hidden="false" customHeight="false" outlineLevel="0" collapsed="false">
      <c r="A70" s="1"/>
      <c r="B70" s="13" t="str">
        <f aca="false">IF(D70="","","L-"&amp;TEXT(ROW()-6,"000"))</f>
        <v/>
      </c>
      <c r="C70" s="14"/>
      <c r="D70" s="15"/>
      <c r="E70" s="15"/>
      <c r="F70" s="16"/>
      <c r="G70" s="17" t="str">
        <f aca="false">IF(F70="","",IF(F70&gt;600,"Sí","No"))</f>
        <v/>
      </c>
      <c r="H70" s="15"/>
      <c r="I70" s="15"/>
      <c r="J70" s="16"/>
      <c r="K70" s="14"/>
      <c r="L70" s="15"/>
      <c r="M70" s="15"/>
      <c r="N70" s="15"/>
    </row>
    <row r="71" customFormat="false" ht="15" hidden="false" customHeight="false" outlineLevel="0" collapsed="false">
      <c r="A71" s="1"/>
      <c r="B71" s="8" t="str">
        <f aca="false">IF(D71="","","L-"&amp;TEXT(ROW()-6,"000"))</f>
        <v/>
      </c>
      <c r="C71" s="9"/>
      <c r="D71" s="10"/>
      <c r="E71" s="10"/>
      <c r="F71" s="11"/>
      <c r="G71" s="12" t="str">
        <f aca="false">IF(F71="","",IF(F71&gt;600,"Sí","No"))</f>
        <v/>
      </c>
      <c r="H71" s="10"/>
      <c r="I71" s="10"/>
      <c r="J71" s="11"/>
      <c r="K71" s="9"/>
      <c r="L71" s="10"/>
      <c r="M71" s="10"/>
      <c r="N71" s="10"/>
    </row>
    <row r="72" customFormat="false" ht="15" hidden="false" customHeight="false" outlineLevel="0" collapsed="false">
      <c r="A72" s="1"/>
      <c r="B72" s="13" t="str">
        <f aca="false">IF(D72="","","L-"&amp;TEXT(ROW()-6,"000"))</f>
        <v/>
      </c>
      <c r="C72" s="14"/>
      <c r="D72" s="15"/>
      <c r="E72" s="15"/>
      <c r="F72" s="16"/>
      <c r="G72" s="17" t="str">
        <f aca="false">IF(F72="","",IF(F72&gt;600,"Sí","No"))</f>
        <v/>
      </c>
      <c r="H72" s="15"/>
      <c r="I72" s="15"/>
      <c r="J72" s="16"/>
      <c r="K72" s="14"/>
      <c r="L72" s="15"/>
      <c r="M72" s="15"/>
      <c r="N72" s="15"/>
    </row>
    <row r="73" customFormat="false" ht="15" hidden="false" customHeight="false" outlineLevel="0" collapsed="false">
      <c r="A73" s="1"/>
      <c r="B73" s="8" t="str">
        <f aca="false">IF(D73="","","L-"&amp;TEXT(ROW()-6,"000"))</f>
        <v/>
      </c>
      <c r="C73" s="9"/>
      <c r="D73" s="10"/>
      <c r="E73" s="10"/>
      <c r="F73" s="11"/>
      <c r="G73" s="12" t="str">
        <f aca="false">IF(F73="","",IF(F73&gt;600,"Sí","No"))</f>
        <v/>
      </c>
      <c r="H73" s="10"/>
      <c r="I73" s="10"/>
      <c r="J73" s="11"/>
      <c r="K73" s="9"/>
      <c r="L73" s="10"/>
      <c r="M73" s="10"/>
      <c r="N73" s="10"/>
    </row>
    <row r="74" customFormat="false" ht="15" hidden="false" customHeight="false" outlineLevel="0" collapsed="false">
      <c r="A74" s="1"/>
      <c r="B74" s="13" t="str">
        <f aca="false">IF(D74="","","L-"&amp;TEXT(ROW()-6,"000"))</f>
        <v/>
      </c>
      <c r="C74" s="14"/>
      <c r="D74" s="15"/>
      <c r="E74" s="15"/>
      <c r="F74" s="16"/>
      <c r="G74" s="17" t="str">
        <f aca="false">IF(F74="","",IF(F74&gt;600,"Sí","No"))</f>
        <v/>
      </c>
      <c r="H74" s="15"/>
      <c r="I74" s="15"/>
      <c r="J74" s="16"/>
      <c r="K74" s="14"/>
      <c r="L74" s="15"/>
      <c r="M74" s="15"/>
      <c r="N74" s="15"/>
    </row>
    <row r="75" customFormat="false" ht="15" hidden="false" customHeight="false" outlineLevel="0" collapsed="false">
      <c r="A75" s="1"/>
      <c r="B75" s="8" t="str">
        <f aca="false">IF(D75="","","L-"&amp;TEXT(ROW()-6,"000"))</f>
        <v/>
      </c>
      <c r="C75" s="9"/>
      <c r="D75" s="10"/>
      <c r="E75" s="10"/>
      <c r="F75" s="11"/>
      <c r="G75" s="12" t="str">
        <f aca="false">IF(F75="","",IF(F75&gt;600,"Sí","No"))</f>
        <v/>
      </c>
      <c r="H75" s="10"/>
      <c r="I75" s="10"/>
      <c r="J75" s="11"/>
      <c r="K75" s="9"/>
      <c r="L75" s="10"/>
      <c r="M75" s="10"/>
      <c r="N75" s="10"/>
    </row>
    <row r="76" customFormat="false" ht="15" hidden="false" customHeight="false" outlineLevel="0" collapsed="false">
      <c r="A76" s="1"/>
      <c r="B76" s="13" t="str">
        <f aca="false">IF(D76="","","L-"&amp;TEXT(ROW()-6,"000"))</f>
        <v/>
      </c>
      <c r="C76" s="14"/>
      <c r="D76" s="15"/>
      <c r="E76" s="15"/>
      <c r="F76" s="16"/>
      <c r="G76" s="17" t="str">
        <f aca="false">IF(F76="","",IF(F76&gt;600,"Sí","No"))</f>
        <v/>
      </c>
      <c r="H76" s="15"/>
      <c r="I76" s="15"/>
      <c r="J76" s="16"/>
      <c r="K76" s="14"/>
      <c r="L76" s="15"/>
      <c r="M76" s="15"/>
      <c r="N76" s="15"/>
    </row>
    <row r="77" customFormat="false" ht="15" hidden="false" customHeight="false" outlineLevel="0" collapsed="false">
      <c r="A77" s="1"/>
      <c r="B77" s="8" t="str">
        <f aca="false">IF(D77="","","L-"&amp;TEXT(ROW()-6,"000"))</f>
        <v/>
      </c>
      <c r="C77" s="9"/>
      <c r="D77" s="10"/>
      <c r="E77" s="10"/>
      <c r="F77" s="11"/>
      <c r="G77" s="12" t="str">
        <f aca="false">IF(F77="","",IF(F77&gt;600,"Sí","No"))</f>
        <v/>
      </c>
      <c r="H77" s="10"/>
      <c r="I77" s="10"/>
      <c r="J77" s="11"/>
      <c r="K77" s="9"/>
      <c r="L77" s="10"/>
      <c r="M77" s="10"/>
      <c r="N77" s="10"/>
    </row>
    <row r="78" customFormat="false" ht="15" hidden="false" customHeight="false" outlineLevel="0" collapsed="false">
      <c r="A78" s="1"/>
      <c r="B78" s="13" t="str">
        <f aca="false">IF(D78="","","L-"&amp;TEXT(ROW()-6,"000"))</f>
        <v/>
      </c>
      <c r="C78" s="14"/>
      <c r="D78" s="15"/>
      <c r="E78" s="15"/>
      <c r="F78" s="16"/>
      <c r="G78" s="17" t="str">
        <f aca="false">IF(F78="","",IF(F78&gt;600,"Sí","No"))</f>
        <v/>
      </c>
      <c r="H78" s="15"/>
      <c r="I78" s="15"/>
      <c r="J78" s="16"/>
      <c r="K78" s="14"/>
      <c r="L78" s="15"/>
      <c r="M78" s="15"/>
      <c r="N78" s="15"/>
    </row>
    <row r="79" customFormat="false" ht="15" hidden="false" customHeight="false" outlineLevel="0" collapsed="false">
      <c r="A79" s="1"/>
      <c r="B79" s="8" t="str">
        <f aca="false">IF(D79="","","L-"&amp;TEXT(ROW()-6,"000"))</f>
        <v/>
      </c>
      <c r="C79" s="9"/>
      <c r="D79" s="10"/>
      <c r="E79" s="10"/>
      <c r="F79" s="11"/>
      <c r="G79" s="12" t="str">
        <f aca="false">IF(F79="","",IF(F79&gt;600,"Sí","No"))</f>
        <v/>
      </c>
      <c r="H79" s="10"/>
      <c r="I79" s="10"/>
      <c r="J79" s="11"/>
      <c r="K79" s="9"/>
      <c r="L79" s="10"/>
      <c r="M79" s="10"/>
      <c r="N79" s="10"/>
    </row>
    <row r="80" customFormat="false" ht="15" hidden="false" customHeight="false" outlineLevel="0" collapsed="false">
      <c r="A80" s="1"/>
      <c r="B80" s="13" t="str">
        <f aca="false">IF(D80="","","L-"&amp;TEXT(ROW()-6,"000"))</f>
        <v/>
      </c>
      <c r="C80" s="14"/>
      <c r="D80" s="15"/>
      <c r="E80" s="15"/>
      <c r="F80" s="16"/>
      <c r="G80" s="17" t="str">
        <f aca="false">IF(F80="","",IF(F80&gt;600,"Sí","No"))</f>
        <v/>
      </c>
      <c r="H80" s="15"/>
      <c r="I80" s="15"/>
      <c r="J80" s="16"/>
      <c r="K80" s="14"/>
      <c r="L80" s="15"/>
      <c r="M80" s="15"/>
      <c r="N80" s="15"/>
    </row>
    <row r="81" customFormat="false" ht="15" hidden="false" customHeight="false" outlineLevel="0" collapsed="false">
      <c r="A81" s="1"/>
      <c r="B81" s="8" t="str">
        <f aca="false">IF(D81="","","L-"&amp;TEXT(ROW()-6,"000"))</f>
        <v/>
      </c>
      <c r="C81" s="9"/>
      <c r="D81" s="10"/>
      <c r="E81" s="10"/>
      <c r="F81" s="11"/>
      <c r="G81" s="12" t="str">
        <f aca="false">IF(F81="","",IF(F81&gt;600,"Sí","No"))</f>
        <v/>
      </c>
      <c r="H81" s="10"/>
      <c r="I81" s="10"/>
      <c r="J81" s="11"/>
      <c r="K81" s="9"/>
      <c r="L81" s="10"/>
      <c r="M81" s="10"/>
      <c r="N81" s="10"/>
    </row>
    <row r="82" customFormat="false" ht="15" hidden="false" customHeight="false" outlineLevel="0" collapsed="false">
      <c r="A82" s="1"/>
      <c r="B82" s="13" t="str">
        <f aca="false">IF(D82="","","L-"&amp;TEXT(ROW()-6,"000"))</f>
        <v/>
      </c>
      <c r="C82" s="14"/>
      <c r="D82" s="15"/>
      <c r="E82" s="15"/>
      <c r="F82" s="16"/>
      <c r="G82" s="17" t="str">
        <f aca="false">IF(F82="","",IF(F82&gt;600,"Sí","No"))</f>
        <v/>
      </c>
      <c r="H82" s="15"/>
      <c r="I82" s="15"/>
      <c r="J82" s="16"/>
      <c r="K82" s="14"/>
      <c r="L82" s="15"/>
      <c r="M82" s="15"/>
      <c r="N82" s="15"/>
    </row>
    <row r="83" customFormat="false" ht="15" hidden="false" customHeight="false" outlineLevel="0" collapsed="false">
      <c r="A83" s="1"/>
      <c r="B83" s="8" t="str">
        <f aca="false">IF(D83="","","L-"&amp;TEXT(ROW()-6,"000"))</f>
        <v/>
      </c>
      <c r="C83" s="9"/>
      <c r="D83" s="10"/>
      <c r="E83" s="10"/>
      <c r="F83" s="11"/>
      <c r="G83" s="12" t="str">
        <f aca="false">IF(F83="","",IF(F83&gt;600,"Sí","No"))</f>
        <v/>
      </c>
      <c r="H83" s="10"/>
      <c r="I83" s="10"/>
      <c r="J83" s="11"/>
      <c r="K83" s="9"/>
      <c r="L83" s="10"/>
      <c r="M83" s="10"/>
      <c r="N83" s="10"/>
    </row>
    <row r="84" customFormat="false" ht="15" hidden="false" customHeight="false" outlineLevel="0" collapsed="false">
      <c r="A84" s="1"/>
      <c r="B84" s="13" t="str">
        <f aca="false">IF(D84="","","L-"&amp;TEXT(ROW()-6,"000"))</f>
        <v/>
      </c>
      <c r="C84" s="14"/>
      <c r="D84" s="15"/>
      <c r="E84" s="15"/>
      <c r="F84" s="16"/>
      <c r="G84" s="17" t="str">
        <f aca="false">IF(F84="","",IF(F84&gt;600,"Sí","No"))</f>
        <v/>
      </c>
      <c r="H84" s="15"/>
      <c r="I84" s="15"/>
      <c r="J84" s="16"/>
      <c r="K84" s="14"/>
      <c r="L84" s="15"/>
      <c r="M84" s="15"/>
      <c r="N84" s="15"/>
    </row>
    <row r="85" customFormat="false" ht="15" hidden="false" customHeight="false" outlineLevel="0" collapsed="false">
      <c r="A85" s="1"/>
      <c r="B85" s="8" t="str">
        <f aca="false">IF(D85="","","L-"&amp;TEXT(ROW()-6,"000"))</f>
        <v/>
      </c>
      <c r="C85" s="9"/>
      <c r="D85" s="10"/>
      <c r="E85" s="10"/>
      <c r="F85" s="11"/>
      <c r="G85" s="12" t="str">
        <f aca="false">IF(F85="","",IF(F85&gt;600,"Sí","No"))</f>
        <v/>
      </c>
      <c r="H85" s="10"/>
      <c r="I85" s="10"/>
      <c r="J85" s="11"/>
      <c r="K85" s="9"/>
      <c r="L85" s="10"/>
      <c r="M85" s="10"/>
      <c r="N85" s="10"/>
    </row>
    <row r="86" customFormat="false" ht="15" hidden="false" customHeight="false" outlineLevel="0" collapsed="false">
      <c r="A86" s="1"/>
      <c r="B86" s="13" t="str">
        <f aca="false">IF(D86="","","L-"&amp;TEXT(ROW()-6,"000"))</f>
        <v/>
      </c>
      <c r="C86" s="14"/>
      <c r="D86" s="15"/>
      <c r="E86" s="15"/>
      <c r="F86" s="16"/>
      <c r="G86" s="17" t="str">
        <f aca="false">IF(F86="","",IF(F86&gt;600,"Sí","No"))</f>
        <v/>
      </c>
      <c r="H86" s="15"/>
      <c r="I86" s="15"/>
      <c r="J86" s="16"/>
      <c r="K86" s="14"/>
      <c r="L86" s="15"/>
      <c r="M86" s="15"/>
      <c r="N86" s="15"/>
    </row>
    <row r="87" customFormat="false" ht="15" hidden="false" customHeight="false" outlineLevel="0" collapsed="false">
      <c r="A87" s="1"/>
      <c r="B87" s="8" t="str">
        <f aca="false">IF(D87="","","L-"&amp;TEXT(ROW()-6,"000"))</f>
        <v/>
      </c>
      <c r="C87" s="9"/>
      <c r="D87" s="10"/>
      <c r="E87" s="10"/>
      <c r="F87" s="11"/>
      <c r="G87" s="12" t="str">
        <f aca="false">IF(F87="","",IF(F87&gt;600,"Sí","No"))</f>
        <v/>
      </c>
      <c r="H87" s="10"/>
      <c r="I87" s="10"/>
      <c r="J87" s="11"/>
      <c r="K87" s="9"/>
      <c r="L87" s="10"/>
      <c r="M87" s="10"/>
      <c r="N87" s="10"/>
    </row>
    <row r="88" customFormat="false" ht="15" hidden="false" customHeight="false" outlineLevel="0" collapsed="false">
      <c r="A88" s="1"/>
      <c r="B88" s="13" t="str">
        <f aca="false">IF(D88="","","L-"&amp;TEXT(ROW()-6,"000"))</f>
        <v/>
      </c>
      <c r="C88" s="14"/>
      <c r="D88" s="15"/>
      <c r="E88" s="15"/>
      <c r="F88" s="16"/>
      <c r="G88" s="17" t="str">
        <f aca="false">IF(F88="","",IF(F88&gt;600,"Sí","No"))</f>
        <v/>
      </c>
      <c r="H88" s="15"/>
      <c r="I88" s="15"/>
      <c r="J88" s="16"/>
      <c r="K88" s="14"/>
      <c r="L88" s="15"/>
      <c r="M88" s="15"/>
      <c r="N88" s="15"/>
    </row>
    <row r="89" customFormat="false" ht="15" hidden="false" customHeight="false" outlineLevel="0" collapsed="false">
      <c r="A89" s="1"/>
      <c r="B89" s="8" t="str">
        <f aca="false">IF(D89="","","L-"&amp;TEXT(ROW()-6,"000"))</f>
        <v/>
      </c>
      <c r="C89" s="9"/>
      <c r="D89" s="10"/>
      <c r="E89" s="10"/>
      <c r="F89" s="11"/>
      <c r="G89" s="12" t="str">
        <f aca="false">IF(F89="","",IF(F89&gt;600,"Sí","No"))</f>
        <v/>
      </c>
      <c r="H89" s="10"/>
      <c r="I89" s="10"/>
      <c r="J89" s="11"/>
      <c r="K89" s="9"/>
      <c r="L89" s="10"/>
      <c r="M89" s="10"/>
      <c r="N89" s="10"/>
    </row>
    <row r="90" customFormat="false" ht="15" hidden="false" customHeight="false" outlineLevel="0" collapsed="false">
      <c r="A90" s="1"/>
      <c r="B90" s="13" t="str">
        <f aca="false">IF(D90="","","L-"&amp;TEXT(ROW()-6,"000"))</f>
        <v/>
      </c>
      <c r="C90" s="14"/>
      <c r="D90" s="15"/>
      <c r="E90" s="15"/>
      <c r="F90" s="16"/>
      <c r="G90" s="17" t="str">
        <f aca="false">IF(F90="","",IF(F90&gt;600,"Sí","No"))</f>
        <v/>
      </c>
      <c r="H90" s="15"/>
      <c r="I90" s="15"/>
      <c r="J90" s="16"/>
      <c r="K90" s="14"/>
      <c r="L90" s="15"/>
      <c r="M90" s="15"/>
      <c r="N90" s="15"/>
    </row>
    <row r="91" customFormat="false" ht="15" hidden="false" customHeight="false" outlineLevel="0" collapsed="false">
      <c r="A91" s="1"/>
      <c r="B91" s="8" t="str">
        <f aca="false">IF(D91="","","L-"&amp;TEXT(ROW()-6,"000"))</f>
        <v/>
      </c>
      <c r="C91" s="9"/>
      <c r="D91" s="10"/>
      <c r="E91" s="10"/>
      <c r="F91" s="11"/>
      <c r="G91" s="12" t="str">
        <f aca="false">IF(F91="","",IF(F91&gt;600,"Sí","No"))</f>
        <v/>
      </c>
      <c r="H91" s="10"/>
      <c r="I91" s="10"/>
      <c r="J91" s="11"/>
      <c r="K91" s="9"/>
      <c r="L91" s="10"/>
      <c r="M91" s="10"/>
      <c r="N91" s="10"/>
    </row>
    <row r="92" customFormat="false" ht="15" hidden="false" customHeight="false" outlineLevel="0" collapsed="false">
      <c r="A92" s="1"/>
      <c r="B92" s="13" t="str">
        <f aca="false">IF(D92="","","L-"&amp;TEXT(ROW()-6,"000"))</f>
        <v/>
      </c>
      <c r="C92" s="14"/>
      <c r="D92" s="15"/>
      <c r="E92" s="15"/>
      <c r="F92" s="16"/>
      <c r="G92" s="17" t="str">
        <f aca="false">IF(F92="","",IF(F92&gt;600,"Sí","No"))</f>
        <v/>
      </c>
      <c r="H92" s="15"/>
      <c r="I92" s="15"/>
      <c r="J92" s="16"/>
      <c r="K92" s="14"/>
      <c r="L92" s="15"/>
      <c r="M92" s="15"/>
      <c r="N92" s="15"/>
    </row>
    <row r="93" customFormat="false" ht="15" hidden="false" customHeight="false" outlineLevel="0" collapsed="false">
      <c r="A93" s="1"/>
      <c r="B93" s="8" t="str">
        <f aca="false">IF(D93="","","L-"&amp;TEXT(ROW()-6,"000"))</f>
        <v/>
      </c>
      <c r="C93" s="9"/>
      <c r="D93" s="10"/>
      <c r="E93" s="10"/>
      <c r="F93" s="11"/>
      <c r="G93" s="12" t="str">
        <f aca="false">IF(F93="","",IF(F93&gt;600,"Sí","No"))</f>
        <v/>
      </c>
      <c r="H93" s="10"/>
      <c r="I93" s="10"/>
      <c r="J93" s="11"/>
      <c r="K93" s="9"/>
      <c r="L93" s="10"/>
      <c r="M93" s="10"/>
      <c r="N93" s="10"/>
    </row>
    <row r="94" customFormat="false" ht="15" hidden="false" customHeight="false" outlineLevel="0" collapsed="false">
      <c r="A94" s="1"/>
      <c r="B94" s="13" t="str">
        <f aca="false">IF(D94="","","L-"&amp;TEXT(ROW()-6,"000"))</f>
        <v/>
      </c>
      <c r="C94" s="14"/>
      <c r="D94" s="15"/>
      <c r="E94" s="15"/>
      <c r="F94" s="16"/>
      <c r="G94" s="17" t="str">
        <f aca="false">IF(F94="","",IF(F94&gt;600,"Sí","No"))</f>
        <v/>
      </c>
      <c r="H94" s="15"/>
      <c r="I94" s="15"/>
      <c r="J94" s="16"/>
      <c r="K94" s="14"/>
      <c r="L94" s="15"/>
      <c r="M94" s="15"/>
      <c r="N94" s="15"/>
    </row>
    <row r="95" customFormat="false" ht="15" hidden="false" customHeight="false" outlineLevel="0" collapsed="false">
      <c r="A95" s="1"/>
      <c r="B95" s="8" t="str">
        <f aca="false">IF(D95="","","L-"&amp;TEXT(ROW()-6,"000"))</f>
        <v/>
      </c>
      <c r="C95" s="9"/>
      <c r="D95" s="10"/>
      <c r="E95" s="10"/>
      <c r="F95" s="11"/>
      <c r="G95" s="12" t="str">
        <f aca="false">IF(F95="","",IF(F95&gt;600,"Sí","No"))</f>
        <v/>
      </c>
      <c r="H95" s="10"/>
      <c r="I95" s="10"/>
      <c r="J95" s="11"/>
      <c r="K95" s="9"/>
      <c r="L95" s="10"/>
      <c r="M95" s="10"/>
      <c r="N95" s="10"/>
    </row>
    <row r="96" customFormat="false" ht="15" hidden="false" customHeight="false" outlineLevel="0" collapsed="false">
      <c r="A96" s="1"/>
      <c r="B96" s="13" t="str">
        <f aca="false">IF(D96="","","L-"&amp;TEXT(ROW()-6,"000"))</f>
        <v/>
      </c>
      <c r="C96" s="14"/>
      <c r="D96" s="15"/>
      <c r="E96" s="15"/>
      <c r="F96" s="16"/>
      <c r="G96" s="17" t="str">
        <f aca="false">IF(F96="","",IF(F96&gt;600,"Sí","No"))</f>
        <v/>
      </c>
      <c r="H96" s="15"/>
      <c r="I96" s="15"/>
      <c r="J96" s="16"/>
      <c r="K96" s="14"/>
      <c r="L96" s="15"/>
      <c r="M96" s="15"/>
      <c r="N96" s="15"/>
    </row>
    <row r="97" customFormat="false" ht="15" hidden="false" customHeight="false" outlineLevel="0" collapsed="false">
      <c r="A97" s="1"/>
      <c r="B97" s="8" t="str">
        <f aca="false">IF(D97="","","L-"&amp;TEXT(ROW()-6,"000"))</f>
        <v/>
      </c>
      <c r="C97" s="9"/>
      <c r="D97" s="10"/>
      <c r="E97" s="10"/>
      <c r="F97" s="11"/>
      <c r="G97" s="12" t="str">
        <f aca="false">IF(F97="","",IF(F97&gt;600,"Sí","No"))</f>
        <v/>
      </c>
      <c r="H97" s="10"/>
      <c r="I97" s="10"/>
      <c r="J97" s="11"/>
      <c r="K97" s="9"/>
      <c r="L97" s="10"/>
      <c r="M97" s="10"/>
      <c r="N97" s="10"/>
    </row>
    <row r="98" customFormat="false" ht="15" hidden="false" customHeight="false" outlineLevel="0" collapsed="false">
      <c r="A98" s="1"/>
      <c r="B98" s="13" t="str">
        <f aca="false">IF(D98="","","L-"&amp;TEXT(ROW()-6,"000"))</f>
        <v/>
      </c>
      <c r="C98" s="14"/>
      <c r="D98" s="15"/>
      <c r="E98" s="15"/>
      <c r="F98" s="16"/>
      <c r="G98" s="17" t="str">
        <f aca="false">IF(F98="","",IF(F98&gt;600,"Sí","No"))</f>
        <v/>
      </c>
      <c r="H98" s="15"/>
      <c r="I98" s="15"/>
      <c r="J98" s="16"/>
      <c r="K98" s="14"/>
      <c r="L98" s="15"/>
      <c r="M98" s="15"/>
      <c r="N98" s="15"/>
    </row>
    <row r="99" customFormat="false" ht="15" hidden="false" customHeight="false" outlineLevel="0" collapsed="false">
      <c r="A99" s="1"/>
      <c r="B99" s="8" t="str">
        <f aca="false">IF(D99="","","L-"&amp;TEXT(ROW()-6,"000"))</f>
        <v/>
      </c>
      <c r="C99" s="9"/>
      <c r="D99" s="10"/>
      <c r="E99" s="10"/>
      <c r="F99" s="11"/>
      <c r="G99" s="12" t="str">
        <f aca="false">IF(F99="","",IF(F99&gt;600,"Sí","No"))</f>
        <v/>
      </c>
      <c r="H99" s="10"/>
      <c r="I99" s="10"/>
      <c r="J99" s="11"/>
      <c r="K99" s="9"/>
      <c r="L99" s="10"/>
      <c r="M99" s="10"/>
      <c r="N99" s="10"/>
    </row>
    <row r="100" customFormat="false" ht="15" hidden="false" customHeight="false" outlineLevel="0" collapsed="false">
      <c r="A100" s="1"/>
      <c r="B100" s="13" t="str">
        <f aca="false">IF(D100="","","L-"&amp;TEXT(ROW()-6,"000"))</f>
        <v/>
      </c>
      <c r="C100" s="14"/>
      <c r="D100" s="15"/>
      <c r="E100" s="15"/>
      <c r="F100" s="16"/>
      <c r="G100" s="17" t="str">
        <f aca="false">IF(F100="","",IF(F100&gt;600,"Sí","No"))</f>
        <v/>
      </c>
      <c r="H100" s="15"/>
      <c r="I100" s="15"/>
      <c r="J100" s="16"/>
      <c r="K100" s="14"/>
      <c r="L100" s="15"/>
      <c r="M100" s="15"/>
      <c r="N100" s="15"/>
    </row>
    <row r="101" customFormat="false" ht="15" hidden="false" customHeight="false" outlineLevel="0" collapsed="false">
      <c r="A101" s="1"/>
      <c r="B101" s="8" t="str">
        <f aca="false">IF(D101="","","L-"&amp;TEXT(ROW()-6,"000"))</f>
        <v/>
      </c>
      <c r="C101" s="9"/>
      <c r="D101" s="10"/>
      <c r="E101" s="10"/>
      <c r="F101" s="11"/>
      <c r="G101" s="12" t="str">
        <f aca="false">IF(F101="","",IF(F101&gt;600,"Sí","No"))</f>
        <v/>
      </c>
      <c r="H101" s="10"/>
      <c r="I101" s="10"/>
      <c r="J101" s="11"/>
      <c r="K101" s="9"/>
      <c r="L101" s="10"/>
      <c r="M101" s="10"/>
      <c r="N101" s="10"/>
    </row>
    <row r="102" customFormat="false" ht="15" hidden="false" customHeight="false" outlineLevel="0" collapsed="false">
      <c r="A102" s="1"/>
      <c r="B102" s="13" t="str">
        <f aca="false">IF(D102="","","L-"&amp;TEXT(ROW()-6,"000"))</f>
        <v/>
      </c>
      <c r="C102" s="14"/>
      <c r="D102" s="15"/>
      <c r="E102" s="15"/>
      <c r="F102" s="16"/>
      <c r="G102" s="17" t="str">
        <f aca="false">IF(F102="","",IF(F102&gt;600,"Sí","No"))</f>
        <v/>
      </c>
      <c r="H102" s="15"/>
      <c r="I102" s="15"/>
      <c r="J102" s="16"/>
      <c r="K102" s="14"/>
      <c r="L102" s="15"/>
      <c r="M102" s="15"/>
      <c r="N102" s="15"/>
    </row>
    <row r="103" customFormat="false" ht="15" hidden="false" customHeight="false" outlineLevel="0" collapsed="false">
      <c r="A103" s="1"/>
      <c r="B103" s="8" t="str">
        <f aca="false">IF(D103="","","L-"&amp;TEXT(ROW()-6,"000"))</f>
        <v/>
      </c>
      <c r="C103" s="9"/>
      <c r="D103" s="10"/>
      <c r="E103" s="10"/>
      <c r="F103" s="11"/>
      <c r="G103" s="12" t="str">
        <f aca="false">IF(F103="","",IF(F103&gt;600,"Sí","No"))</f>
        <v/>
      </c>
      <c r="H103" s="10"/>
      <c r="I103" s="10"/>
      <c r="J103" s="11"/>
      <c r="K103" s="9"/>
      <c r="L103" s="10"/>
      <c r="M103" s="10"/>
      <c r="N103" s="10"/>
    </row>
    <row r="104" customFormat="false" ht="15" hidden="false" customHeight="false" outlineLevel="0" collapsed="false">
      <c r="A104" s="1"/>
      <c r="B104" s="13" t="str">
        <f aca="false">IF(D104="","","L-"&amp;TEXT(ROW()-6,"000"))</f>
        <v/>
      </c>
      <c r="C104" s="14"/>
      <c r="D104" s="15"/>
      <c r="E104" s="15"/>
      <c r="F104" s="16"/>
      <c r="G104" s="17" t="str">
        <f aca="false">IF(F104="","",IF(F104&gt;600,"Sí","No"))</f>
        <v/>
      </c>
      <c r="H104" s="15"/>
      <c r="I104" s="15"/>
      <c r="J104" s="16"/>
      <c r="K104" s="14"/>
      <c r="L104" s="15"/>
      <c r="M104" s="15"/>
      <c r="N104" s="15"/>
    </row>
    <row r="105" customFormat="false" ht="15" hidden="false" customHeight="false" outlineLevel="0" collapsed="false">
      <c r="A105" s="1"/>
      <c r="B105" s="8" t="str">
        <f aca="false">IF(D105="","","L-"&amp;TEXT(ROW()-6,"000"))</f>
        <v/>
      </c>
      <c r="C105" s="9"/>
      <c r="D105" s="10"/>
      <c r="E105" s="10"/>
      <c r="F105" s="11"/>
      <c r="G105" s="12" t="str">
        <f aca="false">IF(F105="","",IF(F105&gt;600,"Sí","No"))</f>
        <v/>
      </c>
      <c r="H105" s="10"/>
      <c r="I105" s="10"/>
      <c r="J105" s="11"/>
      <c r="K105" s="9"/>
      <c r="L105" s="10"/>
      <c r="M105" s="10"/>
      <c r="N105" s="10"/>
    </row>
    <row r="106" customFormat="false" ht="15" hidden="false" customHeight="false" outlineLevel="0" collapsed="false">
      <c r="A106" s="1"/>
      <c r="B106" s="13" t="str">
        <f aca="false">IF(D106="","","L-"&amp;TEXT(ROW()-6,"000"))</f>
        <v/>
      </c>
      <c r="C106" s="14"/>
      <c r="D106" s="15"/>
      <c r="E106" s="15"/>
      <c r="F106" s="16"/>
      <c r="G106" s="17" t="str">
        <f aca="false">IF(F106="","",IF(F106&gt;600,"Sí","No"))</f>
        <v/>
      </c>
      <c r="H106" s="15"/>
      <c r="I106" s="15"/>
      <c r="J106" s="16"/>
      <c r="K106" s="14"/>
      <c r="L106" s="15"/>
      <c r="M106" s="15"/>
      <c r="N106" s="15"/>
    </row>
    <row r="107" customFormat="false" ht="15" hidden="false" customHeight="false" outlineLevel="0" collapsed="false">
      <c r="A107" s="1"/>
      <c r="B107" s="8" t="str">
        <f aca="false">IF(D107="","","L-"&amp;TEXT(ROW()-6,"000"))</f>
        <v/>
      </c>
      <c r="C107" s="9"/>
      <c r="D107" s="10"/>
      <c r="E107" s="10"/>
      <c r="F107" s="11"/>
      <c r="G107" s="12" t="str">
        <f aca="false">IF(F107="","",IF(F107&gt;600,"Sí","No"))</f>
        <v/>
      </c>
      <c r="H107" s="10"/>
      <c r="I107" s="10"/>
      <c r="J107" s="11"/>
      <c r="K107" s="9"/>
      <c r="L107" s="10"/>
      <c r="M107" s="10"/>
      <c r="N107" s="10"/>
    </row>
    <row r="108" customFormat="false" ht="15" hidden="false" customHeight="false" outlineLevel="0" collapsed="false">
      <c r="A108" s="1"/>
      <c r="B108" s="13" t="str">
        <f aca="false">IF(D108="","","L-"&amp;TEXT(ROW()-6,"000"))</f>
        <v/>
      </c>
      <c r="C108" s="14"/>
      <c r="D108" s="15"/>
      <c r="E108" s="15"/>
      <c r="F108" s="16"/>
      <c r="G108" s="17" t="str">
        <f aca="false">IF(F108="","",IF(F108&gt;600,"Sí","No"))</f>
        <v/>
      </c>
      <c r="H108" s="15"/>
      <c r="I108" s="15"/>
      <c r="J108" s="16"/>
      <c r="K108" s="14"/>
      <c r="L108" s="15"/>
      <c r="M108" s="15"/>
      <c r="N108" s="15"/>
    </row>
    <row r="109" customFormat="false" ht="15" hidden="false" customHeight="false" outlineLevel="0" collapsed="false">
      <c r="A109" s="1"/>
      <c r="B109" s="8" t="str">
        <f aca="false">IF(D109="","","L-"&amp;TEXT(ROW()-6,"000"))</f>
        <v/>
      </c>
      <c r="C109" s="9"/>
      <c r="D109" s="10"/>
      <c r="E109" s="10"/>
      <c r="F109" s="11"/>
      <c r="G109" s="12" t="str">
        <f aca="false">IF(F109="","",IF(F109&gt;600,"Sí","No"))</f>
        <v/>
      </c>
      <c r="H109" s="10"/>
      <c r="I109" s="10"/>
      <c r="J109" s="11"/>
      <c r="K109" s="9"/>
      <c r="L109" s="10"/>
      <c r="M109" s="10"/>
      <c r="N109" s="10"/>
    </row>
    <row r="110" customFormat="false" ht="15" hidden="false" customHeight="false" outlineLevel="0" collapsed="false">
      <c r="A110" s="1"/>
      <c r="B110" s="13" t="str">
        <f aca="false">IF(D110="","","L-"&amp;TEXT(ROW()-6,"000"))</f>
        <v/>
      </c>
      <c r="C110" s="14"/>
      <c r="D110" s="15"/>
      <c r="E110" s="15"/>
      <c r="F110" s="16"/>
      <c r="G110" s="17" t="str">
        <f aca="false">IF(F110="","",IF(F110&gt;600,"Sí","No"))</f>
        <v/>
      </c>
      <c r="H110" s="15"/>
      <c r="I110" s="15"/>
      <c r="J110" s="16"/>
      <c r="K110" s="14"/>
      <c r="L110" s="15"/>
      <c r="M110" s="15"/>
      <c r="N110" s="15"/>
    </row>
    <row r="111" customFormat="false" ht="15" hidden="false" customHeight="false" outlineLevel="0" collapsed="false">
      <c r="A111" s="1"/>
      <c r="B111" s="8" t="str">
        <f aca="false">IF(D111="","","L-"&amp;TEXT(ROW()-6,"000"))</f>
        <v/>
      </c>
      <c r="C111" s="9"/>
      <c r="D111" s="10"/>
      <c r="E111" s="10"/>
      <c r="F111" s="11"/>
      <c r="G111" s="12" t="str">
        <f aca="false">IF(F111="","",IF(F111&gt;600,"Sí","No"))</f>
        <v/>
      </c>
      <c r="H111" s="10"/>
      <c r="I111" s="10"/>
      <c r="J111" s="11"/>
      <c r="K111" s="9"/>
      <c r="L111" s="10"/>
      <c r="M111" s="10"/>
      <c r="N111" s="10"/>
    </row>
    <row r="112" customFormat="false" ht="15" hidden="false" customHeight="false" outlineLevel="0" collapsed="false">
      <c r="A112" s="1"/>
      <c r="B112" s="13" t="str">
        <f aca="false">IF(D112="","","L-"&amp;TEXT(ROW()-6,"000"))</f>
        <v/>
      </c>
      <c r="C112" s="14"/>
      <c r="D112" s="15"/>
      <c r="E112" s="15"/>
      <c r="F112" s="16"/>
      <c r="G112" s="17" t="str">
        <f aca="false">IF(F112="","",IF(F112&gt;600,"Sí","No"))</f>
        <v/>
      </c>
      <c r="H112" s="15"/>
      <c r="I112" s="15"/>
      <c r="J112" s="16"/>
      <c r="K112" s="14"/>
      <c r="L112" s="15"/>
      <c r="M112" s="15"/>
      <c r="N112" s="15"/>
    </row>
    <row r="113" customFormat="false" ht="15" hidden="false" customHeight="false" outlineLevel="0" collapsed="false">
      <c r="A113" s="1"/>
      <c r="B113" s="8" t="str">
        <f aca="false">IF(D113="","","L-"&amp;TEXT(ROW()-6,"000"))</f>
        <v/>
      </c>
      <c r="C113" s="9"/>
      <c r="D113" s="10"/>
      <c r="E113" s="10"/>
      <c r="F113" s="11"/>
      <c r="G113" s="12" t="str">
        <f aca="false">IF(F113="","",IF(F113&gt;600,"Sí","No"))</f>
        <v/>
      </c>
      <c r="H113" s="10"/>
      <c r="I113" s="10"/>
      <c r="J113" s="11"/>
      <c r="K113" s="9"/>
      <c r="L113" s="10"/>
      <c r="M113" s="10"/>
      <c r="N113" s="10"/>
    </row>
    <row r="114" customFormat="false" ht="15" hidden="false" customHeight="false" outlineLevel="0" collapsed="false">
      <c r="A114" s="1"/>
      <c r="B114" s="13" t="str">
        <f aca="false">IF(D114="","","L-"&amp;TEXT(ROW()-6,"000"))</f>
        <v/>
      </c>
      <c r="C114" s="14"/>
      <c r="D114" s="15"/>
      <c r="E114" s="15"/>
      <c r="F114" s="16"/>
      <c r="G114" s="17" t="str">
        <f aca="false">IF(F114="","",IF(F114&gt;600,"Sí","No"))</f>
        <v/>
      </c>
      <c r="H114" s="15"/>
      <c r="I114" s="15"/>
      <c r="J114" s="16"/>
      <c r="K114" s="14"/>
      <c r="L114" s="15"/>
      <c r="M114" s="15"/>
      <c r="N114" s="15"/>
    </row>
    <row r="115" customFormat="false" ht="15" hidden="false" customHeight="false" outlineLevel="0" collapsed="false">
      <c r="A115" s="1"/>
      <c r="B115" s="8" t="str">
        <f aca="false">IF(D115="","","L-"&amp;TEXT(ROW()-6,"000"))</f>
        <v/>
      </c>
      <c r="C115" s="9"/>
      <c r="D115" s="10"/>
      <c r="E115" s="10"/>
      <c r="F115" s="11"/>
      <c r="G115" s="12" t="str">
        <f aca="false">IF(F115="","",IF(F115&gt;600,"Sí","No"))</f>
        <v/>
      </c>
      <c r="H115" s="10"/>
      <c r="I115" s="10"/>
      <c r="J115" s="11"/>
      <c r="K115" s="9"/>
      <c r="L115" s="10"/>
      <c r="M115" s="10"/>
      <c r="N115" s="10"/>
    </row>
    <row r="116" customFormat="false" ht="15" hidden="false" customHeight="false" outlineLevel="0" collapsed="false">
      <c r="A116" s="1"/>
      <c r="B116" s="13" t="str">
        <f aca="false">IF(D116="","","L-"&amp;TEXT(ROW()-6,"000"))</f>
        <v/>
      </c>
      <c r="C116" s="14"/>
      <c r="D116" s="15"/>
      <c r="E116" s="15"/>
      <c r="F116" s="16"/>
      <c r="G116" s="17" t="str">
        <f aca="false">IF(F116="","",IF(F116&gt;600,"Sí","No"))</f>
        <v/>
      </c>
      <c r="H116" s="15"/>
      <c r="I116" s="15"/>
      <c r="J116" s="16"/>
      <c r="K116" s="14"/>
      <c r="L116" s="15"/>
      <c r="M116" s="15"/>
      <c r="N116" s="15"/>
    </row>
    <row r="117" customFormat="false" ht="15" hidden="false" customHeight="false" outlineLevel="0" collapsed="false">
      <c r="A117" s="1"/>
      <c r="B117" s="8" t="str">
        <f aca="false">IF(D117="","","L-"&amp;TEXT(ROW()-6,"000"))</f>
        <v/>
      </c>
      <c r="C117" s="9"/>
      <c r="D117" s="10"/>
      <c r="E117" s="10"/>
      <c r="F117" s="11"/>
      <c r="G117" s="12" t="str">
        <f aca="false">IF(F117="","",IF(F117&gt;600,"Sí","No"))</f>
        <v/>
      </c>
      <c r="H117" s="10"/>
      <c r="I117" s="10"/>
      <c r="J117" s="11"/>
      <c r="K117" s="9"/>
      <c r="L117" s="10"/>
      <c r="M117" s="10"/>
      <c r="N117" s="10"/>
    </row>
    <row r="118" customFormat="false" ht="15" hidden="false" customHeight="false" outlineLevel="0" collapsed="false">
      <c r="A118" s="1"/>
      <c r="B118" s="13" t="str">
        <f aca="false">IF(D118="","","L-"&amp;TEXT(ROW()-6,"000"))</f>
        <v/>
      </c>
      <c r="C118" s="14"/>
      <c r="D118" s="15"/>
      <c r="E118" s="15"/>
      <c r="F118" s="16"/>
      <c r="G118" s="17" t="str">
        <f aca="false">IF(F118="","",IF(F118&gt;600,"Sí","No"))</f>
        <v/>
      </c>
      <c r="H118" s="15"/>
      <c r="I118" s="15"/>
      <c r="J118" s="16"/>
      <c r="K118" s="14"/>
      <c r="L118" s="15"/>
      <c r="M118" s="15"/>
      <c r="N118" s="15"/>
    </row>
    <row r="119" customFormat="false" ht="15" hidden="false" customHeight="false" outlineLevel="0" collapsed="false">
      <c r="A119" s="1"/>
      <c r="B119" s="8" t="str">
        <f aca="false">IF(D119="","","L-"&amp;TEXT(ROW()-6,"000"))</f>
        <v/>
      </c>
      <c r="C119" s="9"/>
      <c r="D119" s="10"/>
      <c r="E119" s="10"/>
      <c r="F119" s="11"/>
      <c r="G119" s="12" t="str">
        <f aca="false">IF(F119="","",IF(F119&gt;600,"Sí","No"))</f>
        <v/>
      </c>
      <c r="H119" s="10"/>
      <c r="I119" s="10"/>
      <c r="J119" s="11"/>
      <c r="K119" s="9"/>
      <c r="L119" s="10"/>
      <c r="M119" s="10"/>
      <c r="N119" s="10"/>
    </row>
    <row r="120" customFormat="false" ht="15" hidden="false" customHeight="false" outlineLevel="0" collapsed="false">
      <c r="A120" s="1"/>
      <c r="B120" s="13" t="str">
        <f aca="false">IF(D120="","","L-"&amp;TEXT(ROW()-6,"000"))</f>
        <v/>
      </c>
      <c r="C120" s="14"/>
      <c r="D120" s="15"/>
      <c r="E120" s="15"/>
      <c r="F120" s="16"/>
      <c r="G120" s="17" t="str">
        <f aca="false">IF(F120="","",IF(F120&gt;600,"Sí","No"))</f>
        <v/>
      </c>
      <c r="H120" s="15"/>
      <c r="I120" s="15"/>
      <c r="J120" s="16"/>
      <c r="K120" s="14"/>
      <c r="L120" s="15"/>
      <c r="M120" s="15"/>
      <c r="N120" s="15"/>
    </row>
    <row r="121" customFormat="false" ht="15" hidden="false" customHeight="false" outlineLevel="0" collapsed="false">
      <c r="A121" s="1"/>
      <c r="B121" s="8" t="str">
        <f aca="false">IF(D121="","","L-"&amp;TEXT(ROW()-6,"000"))</f>
        <v/>
      </c>
      <c r="C121" s="9"/>
      <c r="D121" s="10"/>
      <c r="E121" s="10"/>
      <c r="F121" s="11"/>
      <c r="G121" s="12" t="str">
        <f aca="false">IF(F121="","",IF(F121&gt;600,"Sí","No"))</f>
        <v/>
      </c>
      <c r="H121" s="10"/>
      <c r="I121" s="10"/>
      <c r="J121" s="11"/>
      <c r="K121" s="9"/>
      <c r="L121" s="10"/>
      <c r="M121" s="10"/>
      <c r="N121" s="10"/>
    </row>
    <row r="122" customFormat="false" ht="15" hidden="false" customHeight="false" outlineLevel="0" collapsed="false">
      <c r="A122" s="1"/>
      <c r="B122" s="13" t="str">
        <f aca="false">IF(D122="","","L-"&amp;TEXT(ROW()-6,"000"))</f>
        <v/>
      </c>
      <c r="C122" s="14"/>
      <c r="D122" s="15"/>
      <c r="E122" s="15"/>
      <c r="F122" s="16"/>
      <c r="G122" s="17" t="str">
        <f aca="false">IF(F122="","",IF(F122&gt;600,"Sí","No"))</f>
        <v/>
      </c>
      <c r="H122" s="15"/>
      <c r="I122" s="15"/>
      <c r="J122" s="16"/>
      <c r="K122" s="14"/>
      <c r="L122" s="15"/>
      <c r="M122" s="15"/>
      <c r="N122" s="15"/>
    </row>
    <row r="123" customFormat="false" ht="15" hidden="false" customHeight="false" outlineLevel="0" collapsed="false">
      <c r="A123" s="1"/>
      <c r="B123" s="8" t="str">
        <f aca="false">IF(D123="","","L-"&amp;TEXT(ROW()-6,"000"))</f>
        <v/>
      </c>
      <c r="C123" s="9"/>
      <c r="D123" s="10"/>
      <c r="E123" s="10"/>
      <c r="F123" s="11"/>
      <c r="G123" s="12" t="str">
        <f aca="false">IF(F123="","",IF(F123&gt;600,"Sí","No"))</f>
        <v/>
      </c>
      <c r="H123" s="10"/>
      <c r="I123" s="10"/>
      <c r="J123" s="11"/>
      <c r="K123" s="9"/>
      <c r="L123" s="10"/>
      <c r="M123" s="10"/>
      <c r="N123" s="10"/>
    </row>
    <row r="124" customFormat="false" ht="15" hidden="false" customHeight="false" outlineLevel="0" collapsed="false">
      <c r="A124" s="1"/>
      <c r="B124" s="13" t="str">
        <f aca="false">IF(D124="","","L-"&amp;TEXT(ROW()-6,"000"))</f>
        <v/>
      </c>
      <c r="C124" s="14"/>
      <c r="D124" s="15"/>
      <c r="E124" s="15"/>
      <c r="F124" s="16"/>
      <c r="G124" s="17" t="str">
        <f aca="false">IF(F124="","",IF(F124&gt;600,"Sí","No"))</f>
        <v/>
      </c>
      <c r="H124" s="15"/>
      <c r="I124" s="15"/>
      <c r="J124" s="16"/>
      <c r="K124" s="14"/>
      <c r="L124" s="15"/>
      <c r="M124" s="15"/>
      <c r="N124" s="15"/>
    </row>
    <row r="125" customFormat="false" ht="15" hidden="false" customHeight="false" outlineLevel="0" collapsed="false">
      <c r="A125" s="1"/>
      <c r="B125" s="8" t="str">
        <f aca="false">IF(D125="","","L-"&amp;TEXT(ROW()-6,"000"))</f>
        <v/>
      </c>
      <c r="C125" s="9"/>
      <c r="D125" s="10"/>
      <c r="E125" s="10"/>
      <c r="F125" s="11"/>
      <c r="G125" s="12" t="str">
        <f aca="false">IF(F125="","",IF(F125&gt;600,"Sí","No"))</f>
        <v/>
      </c>
      <c r="H125" s="10"/>
      <c r="I125" s="10"/>
      <c r="J125" s="11"/>
      <c r="K125" s="9"/>
      <c r="L125" s="10"/>
      <c r="M125" s="10"/>
      <c r="N125" s="10"/>
    </row>
    <row r="126" customFormat="false" ht="15" hidden="false" customHeight="false" outlineLevel="0" collapsed="false">
      <c r="A126" s="1"/>
      <c r="B126" s="13" t="str">
        <f aca="false">IF(D126="","","L-"&amp;TEXT(ROW()-6,"000"))</f>
        <v/>
      </c>
      <c r="C126" s="14"/>
      <c r="D126" s="15"/>
      <c r="E126" s="15"/>
      <c r="F126" s="16"/>
      <c r="G126" s="17" t="str">
        <f aca="false">IF(F126="","",IF(F126&gt;600,"Sí","No"))</f>
        <v/>
      </c>
      <c r="H126" s="15"/>
      <c r="I126" s="15"/>
      <c r="J126" s="16"/>
      <c r="K126" s="14"/>
      <c r="L126" s="15"/>
      <c r="M126" s="15"/>
      <c r="N126" s="15"/>
    </row>
    <row r="127" customFormat="false" ht="15" hidden="false" customHeight="false" outlineLevel="0" collapsed="false">
      <c r="A127" s="1"/>
      <c r="B127" s="8" t="str">
        <f aca="false">IF(D127="","","L-"&amp;TEXT(ROW()-6,"000"))</f>
        <v/>
      </c>
      <c r="C127" s="9"/>
      <c r="D127" s="10"/>
      <c r="E127" s="10"/>
      <c r="F127" s="11"/>
      <c r="G127" s="12" t="str">
        <f aca="false">IF(F127="","",IF(F127&gt;600,"Sí","No"))</f>
        <v/>
      </c>
      <c r="H127" s="10"/>
      <c r="I127" s="10"/>
      <c r="J127" s="11"/>
      <c r="K127" s="9"/>
      <c r="L127" s="10"/>
      <c r="M127" s="10"/>
      <c r="N127" s="10"/>
    </row>
    <row r="128" customFormat="false" ht="15" hidden="false" customHeight="false" outlineLevel="0" collapsed="false">
      <c r="A128" s="1"/>
      <c r="B128" s="13" t="str">
        <f aca="false">IF(D128="","","L-"&amp;TEXT(ROW()-6,"000"))</f>
        <v/>
      </c>
      <c r="C128" s="14"/>
      <c r="D128" s="15"/>
      <c r="E128" s="15"/>
      <c r="F128" s="16"/>
      <c r="G128" s="17" t="str">
        <f aca="false">IF(F128="","",IF(F128&gt;600,"Sí","No"))</f>
        <v/>
      </c>
      <c r="H128" s="15"/>
      <c r="I128" s="15"/>
      <c r="J128" s="16"/>
      <c r="K128" s="14"/>
      <c r="L128" s="15"/>
      <c r="M128" s="15"/>
      <c r="N128" s="15"/>
    </row>
    <row r="129" customFormat="false" ht="15" hidden="false" customHeight="false" outlineLevel="0" collapsed="false">
      <c r="A129" s="1"/>
      <c r="B129" s="8" t="str">
        <f aca="false">IF(D129="","","L-"&amp;TEXT(ROW()-6,"000"))</f>
        <v/>
      </c>
      <c r="C129" s="9"/>
      <c r="D129" s="10"/>
      <c r="E129" s="10"/>
      <c r="F129" s="11"/>
      <c r="G129" s="12" t="str">
        <f aca="false">IF(F129="","",IF(F129&gt;600,"Sí","No"))</f>
        <v/>
      </c>
      <c r="H129" s="10"/>
      <c r="I129" s="10"/>
      <c r="J129" s="11"/>
      <c r="K129" s="9"/>
      <c r="L129" s="10"/>
      <c r="M129" s="10"/>
      <c r="N129" s="10"/>
    </row>
    <row r="130" customFormat="false" ht="15" hidden="false" customHeight="false" outlineLevel="0" collapsed="false">
      <c r="A130" s="1"/>
      <c r="B130" s="13" t="str">
        <f aca="false">IF(D130="","","L-"&amp;TEXT(ROW()-6,"000"))</f>
        <v/>
      </c>
      <c r="C130" s="14"/>
      <c r="D130" s="15"/>
      <c r="E130" s="15"/>
      <c r="F130" s="16"/>
      <c r="G130" s="17" t="str">
        <f aca="false">IF(F130="","",IF(F130&gt;600,"Sí","No"))</f>
        <v/>
      </c>
      <c r="H130" s="15"/>
      <c r="I130" s="15"/>
      <c r="J130" s="16"/>
      <c r="K130" s="14"/>
      <c r="L130" s="15"/>
      <c r="M130" s="15"/>
      <c r="N130" s="15"/>
    </row>
    <row r="131" customFormat="false" ht="15" hidden="false" customHeight="false" outlineLevel="0" collapsed="false">
      <c r="A131" s="1"/>
      <c r="B131" s="8" t="str">
        <f aca="false">IF(D131="","","L-"&amp;TEXT(ROW()-6,"000"))</f>
        <v/>
      </c>
      <c r="C131" s="9"/>
      <c r="D131" s="10"/>
      <c r="E131" s="10"/>
      <c r="F131" s="11"/>
      <c r="G131" s="12" t="str">
        <f aca="false">IF(F131="","",IF(F131&gt;600,"Sí","No"))</f>
        <v/>
      </c>
      <c r="H131" s="10"/>
      <c r="I131" s="10"/>
      <c r="J131" s="11"/>
      <c r="K131" s="9"/>
      <c r="L131" s="10"/>
      <c r="M131" s="10"/>
      <c r="N131" s="10"/>
    </row>
    <row r="132" customFormat="false" ht="15" hidden="false" customHeight="false" outlineLevel="0" collapsed="false">
      <c r="A132" s="1"/>
      <c r="B132" s="13" t="str">
        <f aca="false">IF(D132="","","L-"&amp;TEXT(ROW()-6,"000"))</f>
        <v/>
      </c>
      <c r="C132" s="14"/>
      <c r="D132" s="15"/>
      <c r="E132" s="15"/>
      <c r="F132" s="16"/>
      <c r="G132" s="17" t="str">
        <f aca="false">IF(F132="","",IF(F132&gt;600,"Sí","No"))</f>
        <v/>
      </c>
      <c r="H132" s="15"/>
      <c r="I132" s="15"/>
      <c r="J132" s="16"/>
      <c r="K132" s="14"/>
      <c r="L132" s="15"/>
      <c r="M132" s="15"/>
      <c r="N132" s="15"/>
    </row>
    <row r="133" customFormat="false" ht="15" hidden="false" customHeight="false" outlineLevel="0" collapsed="false">
      <c r="A133" s="1"/>
      <c r="B133" s="8" t="str">
        <f aca="false">IF(D133="","","L-"&amp;TEXT(ROW()-6,"000"))</f>
        <v/>
      </c>
      <c r="C133" s="9"/>
      <c r="D133" s="10"/>
      <c r="E133" s="10"/>
      <c r="F133" s="11"/>
      <c r="G133" s="12" t="str">
        <f aca="false">IF(F133="","",IF(F133&gt;600,"Sí","No"))</f>
        <v/>
      </c>
      <c r="H133" s="10"/>
      <c r="I133" s="10"/>
      <c r="J133" s="11"/>
      <c r="K133" s="9"/>
      <c r="L133" s="10"/>
      <c r="M133" s="10"/>
      <c r="N133" s="10"/>
    </row>
    <row r="134" customFormat="false" ht="15" hidden="false" customHeight="false" outlineLevel="0" collapsed="false">
      <c r="A134" s="1"/>
      <c r="B134" s="13" t="str">
        <f aca="false">IF(D134="","","L-"&amp;TEXT(ROW()-6,"000"))</f>
        <v/>
      </c>
      <c r="C134" s="14"/>
      <c r="D134" s="15"/>
      <c r="E134" s="15"/>
      <c r="F134" s="16"/>
      <c r="G134" s="17" t="str">
        <f aca="false">IF(F134="","",IF(F134&gt;600,"Sí","No"))</f>
        <v/>
      </c>
      <c r="H134" s="15"/>
      <c r="I134" s="15"/>
      <c r="J134" s="16"/>
      <c r="K134" s="14"/>
      <c r="L134" s="15"/>
      <c r="M134" s="15"/>
      <c r="N134" s="15"/>
    </row>
    <row r="135" customFormat="false" ht="15" hidden="false" customHeight="false" outlineLevel="0" collapsed="false">
      <c r="A135" s="1"/>
      <c r="B135" s="8" t="str">
        <f aca="false">IF(D135="","","L-"&amp;TEXT(ROW()-6,"000"))</f>
        <v/>
      </c>
      <c r="C135" s="9"/>
      <c r="D135" s="10"/>
      <c r="E135" s="10"/>
      <c r="F135" s="11"/>
      <c r="G135" s="12" t="str">
        <f aca="false">IF(F135="","",IF(F135&gt;600,"Sí","No"))</f>
        <v/>
      </c>
      <c r="H135" s="10"/>
      <c r="I135" s="10"/>
      <c r="J135" s="11"/>
      <c r="K135" s="9"/>
      <c r="L135" s="10"/>
      <c r="M135" s="10"/>
      <c r="N135" s="10"/>
    </row>
    <row r="136" customFormat="false" ht="15" hidden="false" customHeight="false" outlineLevel="0" collapsed="false">
      <c r="A136" s="1"/>
      <c r="B136" s="13" t="str">
        <f aca="false">IF(D136="","","L-"&amp;TEXT(ROW()-6,"000"))</f>
        <v/>
      </c>
      <c r="C136" s="14"/>
      <c r="D136" s="15"/>
      <c r="E136" s="15"/>
      <c r="F136" s="16"/>
      <c r="G136" s="17" t="str">
        <f aca="false">IF(F136="","",IF(F136&gt;600,"Sí","No"))</f>
        <v/>
      </c>
      <c r="H136" s="15"/>
      <c r="I136" s="15"/>
      <c r="J136" s="16"/>
      <c r="K136" s="14"/>
      <c r="L136" s="15"/>
      <c r="M136" s="15"/>
      <c r="N136" s="15"/>
    </row>
    <row r="137" customFormat="false" ht="15" hidden="false" customHeight="false" outlineLevel="0" collapsed="false">
      <c r="A137" s="1"/>
      <c r="B137" s="8" t="str">
        <f aca="false">IF(D137="","","L-"&amp;TEXT(ROW()-6,"000"))</f>
        <v/>
      </c>
      <c r="C137" s="9"/>
      <c r="D137" s="10"/>
      <c r="E137" s="10"/>
      <c r="F137" s="11"/>
      <c r="G137" s="12" t="str">
        <f aca="false">IF(F137="","",IF(F137&gt;600,"Sí","No"))</f>
        <v/>
      </c>
      <c r="H137" s="10"/>
      <c r="I137" s="10"/>
      <c r="J137" s="11"/>
      <c r="K137" s="9"/>
      <c r="L137" s="10"/>
      <c r="M137" s="10"/>
      <c r="N137" s="10"/>
    </row>
    <row r="138" customFormat="false" ht="15" hidden="false" customHeight="false" outlineLevel="0" collapsed="false">
      <c r="A138" s="1"/>
      <c r="B138" s="13" t="str">
        <f aca="false">IF(D138="","","L-"&amp;TEXT(ROW()-6,"000"))</f>
        <v/>
      </c>
      <c r="C138" s="14"/>
      <c r="D138" s="15"/>
      <c r="E138" s="15"/>
      <c r="F138" s="16"/>
      <c r="G138" s="17" t="str">
        <f aca="false">IF(F138="","",IF(F138&gt;600,"Sí","No"))</f>
        <v/>
      </c>
      <c r="H138" s="15"/>
      <c r="I138" s="15"/>
      <c r="J138" s="16"/>
      <c r="K138" s="14"/>
      <c r="L138" s="15"/>
      <c r="M138" s="15"/>
      <c r="N138" s="15"/>
    </row>
    <row r="139" customFormat="false" ht="15" hidden="false" customHeight="false" outlineLevel="0" collapsed="false">
      <c r="A139" s="1"/>
      <c r="B139" s="8" t="str">
        <f aca="false">IF(D139="","","L-"&amp;TEXT(ROW()-6,"000"))</f>
        <v/>
      </c>
      <c r="C139" s="9"/>
      <c r="D139" s="10"/>
      <c r="E139" s="10"/>
      <c r="F139" s="11"/>
      <c r="G139" s="12" t="str">
        <f aca="false">IF(F139="","",IF(F139&gt;600,"Sí","No"))</f>
        <v/>
      </c>
      <c r="H139" s="10"/>
      <c r="I139" s="10"/>
      <c r="J139" s="11"/>
      <c r="K139" s="9"/>
      <c r="L139" s="10"/>
      <c r="M139" s="10"/>
      <c r="N139" s="10"/>
    </row>
    <row r="140" customFormat="false" ht="15" hidden="false" customHeight="false" outlineLevel="0" collapsed="false">
      <c r="A140" s="1"/>
      <c r="B140" s="13" t="str">
        <f aca="false">IF(D140="","","L-"&amp;TEXT(ROW()-6,"000"))</f>
        <v/>
      </c>
      <c r="C140" s="14"/>
      <c r="D140" s="15"/>
      <c r="E140" s="15"/>
      <c r="F140" s="16"/>
      <c r="G140" s="17" t="str">
        <f aca="false">IF(F140="","",IF(F140&gt;600,"Sí","No"))</f>
        <v/>
      </c>
      <c r="H140" s="15"/>
      <c r="I140" s="15"/>
      <c r="J140" s="16"/>
      <c r="K140" s="14"/>
      <c r="L140" s="15"/>
      <c r="M140" s="15"/>
      <c r="N140" s="15"/>
    </row>
    <row r="141" customFormat="false" ht="15" hidden="false" customHeight="false" outlineLevel="0" collapsed="false">
      <c r="A141" s="1"/>
      <c r="B141" s="8" t="str">
        <f aca="false">IF(D141="","","L-"&amp;TEXT(ROW()-6,"000"))</f>
        <v/>
      </c>
      <c r="C141" s="9"/>
      <c r="D141" s="10"/>
      <c r="E141" s="10"/>
      <c r="F141" s="11"/>
      <c r="G141" s="12" t="str">
        <f aca="false">IF(F141="","",IF(F141&gt;600,"Sí","No"))</f>
        <v/>
      </c>
      <c r="H141" s="10"/>
      <c r="I141" s="10"/>
      <c r="J141" s="11"/>
      <c r="K141" s="9"/>
      <c r="L141" s="10"/>
      <c r="M141" s="10"/>
      <c r="N141" s="10"/>
    </row>
    <row r="142" customFormat="false" ht="15" hidden="false" customHeight="false" outlineLevel="0" collapsed="false">
      <c r="A142" s="1"/>
      <c r="B142" s="13" t="str">
        <f aca="false">IF(D142="","","L-"&amp;TEXT(ROW()-6,"000"))</f>
        <v/>
      </c>
      <c r="C142" s="14"/>
      <c r="D142" s="15"/>
      <c r="E142" s="15"/>
      <c r="F142" s="16"/>
      <c r="G142" s="17" t="str">
        <f aca="false">IF(F142="","",IF(F142&gt;600,"Sí","No"))</f>
        <v/>
      </c>
      <c r="H142" s="15"/>
      <c r="I142" s="15"/>
      <c r="J142" s="16"/>
      <c r="K142" s="14"/>
      <c r="L142" s="15"/>
      <c r="M142" s="15"/>
      <c r="N142" s="15"/>
    </row>
    <row r="143" customFormat="false" ht="15" hidden="false" customHeight="false" outlineLevel="0" collapsed="false">
      <c r="A143" s="1"/>
      <c r="B143" s="8" t="str">
        <f aca="false">IF(D143="","","L-"&amp;TEXT(ROW()-6,"000"))</f>
        <v/>
      </c>
      <c r="C143" s="9"/>
      <c r="D143" s="10"/>
      <c r="E143" s="10"/>
      <c r="F143" s="11"/>
      <c r="G143" s="12" t="str">
        <f aca="false">IF(F143="","",IF(F143&gt;600,"Sí","No"))</f>
        <v/>
      </c>
      <c r="H143" s="10"/>
      <c r="I143" s="10"/>
      <c r="J143" s="11"/>
      <c r="K143" s="9"/>
      <c r="L143" s="10"/>
      <c r="M143" s="10"/>
      <c r="N143" s="10"/>
    </row>
    <row r="144" customFormat="false" ht="15" hidden="false" customHeight="false" outlineLevel="0" collapsed="false">
      <c r="A144" s="1"/>
      <c r="B144" s="13" t="str">
        <f aca="false">IF(D144="","","L-"&amp;TEXT(ROW()-6,"000"))</f>
        <v/>
      </c>
      <c r="C144" s="14"/>
      <c r="D144" s="15"/>
      <c r="E144" s="15"/>
      <c r="F144" s="16"/>
      <c r="G144" s="17" t="str">
        <f aca="false">IF(F144="","",IF(F144&gt;600,"Sí","No"))</f>
        <v/>
      </c>
      <c r="H144" s="15"/>
      <c r="I144" s="15"/>
      <c r="J144" s="16"/>
      <c r="K144" s="14"/>
      <c r="L144" s="15"/>
      <c r="M144" s="15"/>
      <c r="N144" s="15"/>
    </row>
    <row r="145" customFormat="false" ht="15" hidden="false" customHeight="false" outlineLevel="0" collapsed="false">
      <c r="A145" s="1"/>
      <c r="B145" s="8" t="str">
        <f aca="false">IF(D145="","","L-"&amp;TEXT(ROW()-6,"000"))</f>
        <v/>
      </c>
      <c r="C145" s="9"/>
      <c r="D145" s="10"/>
      <c r="E145" s="10"/>
      <c r="F145" s="11"/>
      <c r="G145" s="12" t="str">
        <f aca="false">IF(F145="","",IF(F145&gt;600,"Sí","No"))</f>
        <v/>
      </c>
      <c r="H145" s="10"/>
      <c r="I145" s="10"/>
      <c r="J145" s="11"/>
      <c r="K145" s="9"/>
      <c r="L145" s="10"/>
      <c r="M145" s="10"/>
      <c r="N145" s="10"/>
    </row>
    <row r="146" customFormat="false" ht="15" hidden="false" customHeight="false" outlineLevel="0" collapsed="false">
      <c r="A146" s="1"/>
      <c r="B146" s="13" t="str">
        <f aca="false">IF(D146="","","L-"&amp;TEXT(ROW()-6,"000"))</f>
        <v/>
      </c>
      <c r="C146" s="14"/>
      <c r="D146" s="15"/>
      <c r="E146" s="15"/>
      <c r="F146" s="16"/>
      <c r="G146" s="17" t="str">
        <f aca="false">IF(F146="","",IF(F146&gt;600,"Sí","No"))</f>
        <v/>
      </c>
      <c r="H146" s="15"/>
      <c r="I146" s="15"/>
      <c r="J146" s="16"/>
      <c r="K146" s="14"/>
      <c r="L146" s="15"/>
      <c r="M146" s="15"/>
      <c r="N146" s="15"/>
    </row>
    <row r="147" customFormat="false" ht="15" hidden="false" customHeight="false" outlineLevel="0" collapsed="false">
      <c r="A147" s="1"/>
      <c r="B147" s="8" t="str">
        <f aca="false">IF(D147="","","L-"&amp;TEXT(ROW()-6,"000"))</f>
        <v/>
      </c>
      <c r="C147" s="9"/>
      <c r="D147" s="10"/>
      <c r="E147" s="10"/>
      <c r="F147" s="11"/>
      <c r="G147" s="12" t="str">
        <f aca="false">IF(F147="","",IF(F147&gt;600,"Sí","No"))</f>
        <v/>
      </c>
      <c r="H147" s="10"/>
      <c r="I147" s="10"/>
      <c r="J147" s="11"/>
      <c r="K147" s="9"/>
      <c r="L147" s="10"/>
      <c r="M147" s="10"/>
      <c r="N147" s="10"/>
    </row>
    <row r="148" customFormat="false" ht="15" hidden="false" customHeight="false" outlineLevel="0" collapsed="false">
      <c r="A148" s="1"/>
      <c r="B148" s="13" t="str">
        <f aca="false">IF(D148="","","L-"&amp;TEXT(ROW()-6,"000"))</f>
        <v/>
      </c>
      <c r="C148" s="14"/>
      <c r="D148" s="15"/>
      <c r="E148" s="15"/>
      <c r="F148" s="16"/>
      <c r="G148" s="17" t="str">
        <f aca="false">IF(F148="","",IF(F148&gt;600,"Sí","No"))</f>
        <v/>
      </c>
      <c r="H148" s="15"/>
      <c r="I148" s="15"/>
      <c r="J148" s="16"/>
      <c r="K148" s="14"/>
      <c r="L148" s="15"/>
      <c r="M148" s="15"/>
      <c r="N148" s="15"/>
    </row>
    <row r="149" customFormat="false" ht="15" hidden="false" customHeight="false" outlineLevel="0" collapsed="false">
      <c r="A149" s="1"/>
      <c r="B149" s="8" t="str">
        <f aca="false">IF(D149="","","L-"&amp;TEXT(ROW()-6,"000"))</f>
        <v/>
      </c>
      <c r="C149" s="9"/>
      <c r="D149" s="10"/>
      <c r="E149" s="10"/>
      <c r="F149" s="11"/>
      <c r="G149" s="12" t="str">
        <f aca="false">IF(F149="","",IF(F149&gt;600,"Sí","No"))</f>
        <v/>
      </c>
      <c r="H149" s="10"/>
      <c r="I149" s="10"/>
      <c r="J149" s="11"/>
      <c r="K149" s="9"/>
      <c r="L149" s="10"/>
      <c r="M149" s="10"/>
      <c r="N149" s="10"/>
    </row>
    <row r="150" customFormat="false" ht="15" hidden="false" customHeight="false" outlineLevel="0" collapsed="false">
      <c r="A150" s="1"/>
      <c r="B150" s="13" t="str">
        <f aca="false">IF(D150="","","L-"&amp;TEXT(ROW()-6,"000"))</f>
        <v/>
      </c>
      <c r="C150" s="14"/>
      <c r="D150" s="15"/>
      <c r="E150" s="15"/>
      <c r="F150" s="16"/>
      <c r="G150" s="17" t="str">
        <f aca="false">IF(F150="","",IF(F150&gt;600,"Sí","No"))</f>
        <v/>
      </c>
      <c r="H150" s="15"/>
      <c r="I150" s="15"/>
      <c r="J150" s="16"/>
      <c r="K150" s="14"/>
      <c r="L150" s="15"/>
      <c r="M150" s="15"/>
      <c r="N150" s="15"/>
    </row>
    <row r="151" customFormat="false" ht="15" hidden="false" customHeight="false" outlineLevel="0" collapsed="false">
      <c r="A151" s="1"/>
      <c r="B151" s="8" t="str">
        <f aca="false">IF(D151="","","L-"&amp;TEXT(ROW()-6,"000"))</f>
        <v/>
      </c>
      <c r="C151" s="9"/>
      <c r="D151" s="10"/>
      <c r="E151" s="10"/>
      <c r="F151" s="11"/>
      <c r="G151" s="12" t="str">
        <f aca="false">IF(F151="","",IF(F151&gt;600,"Sí","No"))</f>
        <v/>
      </c>
      <c r="H151" s="10"/>
      <c r="I151" s="10"/>
      <c r="J151" s="11"/>
      <c r="K151" s="9"/>
      <c r="L151" s="10"/>
      <c r="M151" s="10"/>
      <c r="N151" s="10"/>
    </row>
    <row r="152" customFormat="false" ht="15" hidden="false" customHeight="false" outlineLevel="0" collapsed="false">
      <c r="A152" s="1"/>
      <c r="B152" s="13" t="str">
        <f aca="false">IF(D152="","","L-"&amp;TEXT(ROW()-6,"000"))</f>
        <v/>
      </c>
      <c r="C152" s="14"/>
      <c r="D152" s="15"/>
      <c r="E152" s="15"/>
      <c r="F152" s="16"/>
      <c r="G152" s="17" t="str">
        <f aca="false">IF(F152="","",IF(F152&gt;600,"Sí","No"))</f>
        <v/>
      </c>
      <c r="H152" s="15"/>
      <c r="I152" s="15"/>
      <c r="J152" s="16"/>
      <c r="K152" s="14"/>
      <c r="L152" s="15"/>
      <c r="M152" s="15"/>
      <c r="N152" s="15"/>
    </row>
    <row r="153" customFormat="false" ht="15" hidden="false" customHeight="false" outlineLevel="0" collapsed="false">
      <c r="A153" s="1"/>
      <c r="B153" s="8" t="str">
        <f aca="false">IF(D153="","","L-"&amp;TEXT(ROW()-6,"000"))</f>
        <v/>
      </c>
      <c r="C153" s="9"/>
      <c r="D153" s="10"/>
      <c r="E153" s="10"/>
      <c r="F153" s="11"/>
      <c r="G153" s="12" t="str">
        <f aca="false">IF(F153="","",IF(F153&gt;600,"Sí","No"))</f>
        <v/>
      </c>
      <c r="H153" s="10"/>
      <c r="I153" s="10"/>
      <c r="J153" s="11"/>
      <c r="K153" s="9"/>
      <c r="L153" s="10"/>
      <c r="M153" s="10"/>
      <c r="N153" s="10"/>
    </row>
    <row r="154" customFormat="false" ht="15" hidden="false" customHeight="false" outlineLevel="0" collapsed="false">
      <c r="A154" s="1"/>
      <c r="B154" s="13" t="str">
        <f aca="false">IF(D154="","","L-"&amp;TEXT(ROW()-6,"000"))</f>
        <v/>
      </c>
      <c r="C154" s="14"/>
      <c r="D154" s="15"/>
      <c r="E154" s="15"/>
      <c r="F154" s="16"/>
      <c r="G154" s="17" t="str">
        <f aca="false">IF(F154="","",IF(F154&gt;600,"Sí","No"))</f>
        <v/>
      </c>
      <c r="H154" s="15"/>
      <c r="I154" s="15"/>
      <c r="J154" s="16"/>
      <c r="K154" s="14"/>
      <c r="L154" s="15"/>
      <c r="M154" s="15"/>
      <c r="N154" s="15"/>
    </row>
    <row r="155" customFormat="false" ht="15" hidden="false" customHeight="false" outlineLevel="0" collapsed="false">
      <c r="A155" s="1"/>
      <c r="B155" s="8" t="str">
        <f aca="false">IF(D155="","","L-"&amp;TEXT(ROW()-6,"000"))</f>
        <v/>
      </c>
      <c r="C155" s="9"/>
      <c r="D155" s="10"/>
      <c r="E155" s="10"/>
      <c r="F155" s="11"/>
      <c r="G155" s="12" t="str">
        <f aca="false">IF(F155="","",IF(F155&gt;600,"Sí","No"))</f>
        <v/>
      </c>
      <c r="H155" s="10"/>
      <c r="I155" s="10"/>
      <c r="J155" s="11"/>
      <c r="K155" s="9"/>
      <c r="L155" s="10"/>
      <c r="M155" s="10"/>
      <c r="N155" s="10"/>
    </row>
    <row r="156" customFormat="false" ht="15" hidden="false" customHeight="false" outlineLevel="0" collapsed="false">
      <c r="A156" s="1"/>
      <c r="B156" s="13" t="str">
        <f aca="false">IF(D156="","","L-"&amp;TEXT(ROW()-6,"000"))</f>
        <v/>
      </c>
      <c r="C156" s="14"/>
      <c r="D156" s="15"/>
      <c r="E156" s="15"/>
      <c r="F156" s="16"/>
      <c r="G156" s="17" t="str">
        <f aca="false">IF(F156="","",IF(F156&gt;600,"Sí","No"))</f>
        <v/>
      </c>
      <c r="H156" s="15"/>
      <c r="I156" s="15"/>
      <c r="J156" s="16"/>
      <c r="K156" s="14"/>
      <c r="L156" s="15"/>
      <c r="M156" s="15"/>
      <c r="N156" s="15"/>
    </row>
    <row r="157" customFormat="false" ht="15" hidden="false" customHeight="false" outlineLevel="0" collapsed="false">
      <c r="A157" s="1"/>
      <c r="B157" s="8" t="str">
        <f aca="false">IF(D157="","","L-"&amp;TEXT(ROW()-6,"000"))</f>
        <v/>
      </c>
      <c r="C157" s="9"/>
      <c r="D157" s="10"/>
      <c r="E157" s="10"/>
      <c r="F157" s="11"/>
      <c r="G157" s="12" t="str">
        <f aca="false">IF(F157="","",IF(F157&gt;600,"Sí","No"))</f>
        <v/>
      </c>
      <c r="H157" s="10"/>
      <c r="I157" s="10"/>
      <c r="J157" s="11"/>
      <c r="K157" s="9"/>
      <c r="L157" s="10"/>
      <c r="M157" s="10"/>
      <c r="N157" s="10"/>
    </row>
    <row r="158" customFormat="false" ht="15" hidden="false" customHeight="false" outlineLevel="0" collapsed="false">
      <c r="A158" s="1"/>
      <c r="B158" s="13" t="str">
        <f aca="false">IF(D158="","","L-"&amp;TEXT(ROW()-6,"000"))</f>
        <v/>
      </c>
      <c r="C158" s="14"/>
      <c r="D158" s="15"/>
      <c r="E158" s="15"/>
      <c r="F158" s="16"/>
      <c r="G158" s="17" t="str">
        <f aca="false">IF(F158="","",IF(F158&gt;600,"Sí","No"))</f>
        <v/>
      </c>
      <c r="H158" s="15"/>
      <c r="I158" s="15"/>
      <c r="J158" s="16"/>
      <c r="K158" s="14"/>
      <c r="L158" s="15"/>
      <c r="M158" s="15"/>
      <c r="N158" s="15"/>
    </row>
    <row r="159" customFormat="false" ht="15" hidden="false" customHeight="false" outlineLevel="0" collapsed="false">
      <c r="A159" s="1"/>
      <c r="B159" s="8" t="str">
        <f aca="false">IF(D159="","","L-"&amp;TEXT(ROW()-6,"000"))</f>
        <v/>
      </c>
      <c r="C159" s="9"/>
      <c r="D159" s="10"/>
      <c r="E159" s="10"/>
      <c r="F159" s="11"/>
      <c r="G159" s="12" t="str">
        <f aca="false">IF(F159="","",IF(F159&gt;600,"Sí","No"))</f>
        <v/>
      </c>
      <c r="H159" s="10"/>
      <c r="I159" s="10"/>
      <c r="J159" s="11"/>
      <c r="K159" s="9"/>
      <c r="L159" s="10"/>
      <c r="M159" s="10"/>
      <c r="N159" s="10"/>
    </row>
    <row r="160" customFormat="false" ht="15" hidden="false" customHeight="false" outlineLevel="0" collapsed="false">
      <c r="A160" s="1"/>
      <c r="B160" s="13" t="str">
        <f aca="false">IF(D160="","","L-"&amp;TEXT(ROW()-6,"000"))</f>
        <v/>
      </c>
      <c r="C160" s="14"/>
      <c r="D160" s="15"/>
      <c r="E160" s="15"/>
      <c r="F160" s="16"/>
      <c r="G160" s="17" t="str">
        <f aca="false">IF(F160="","",IF(F160&gt;600,"Sí","No"))</f>
        <v/>
      </c>
      <c r="H160" s="15"/>
      <c r="I160" s="15"/>
      <c r="J160" s="16"/>
      <c r="K160" s="14"/>
      <c r="L160" s="15"/>
      <c r="M160" s="15"/>
      <c r="N160" s="15"/>
    </row>
    <row r="161" customFormat="false" ht="15" hidden="false" customHeight="false" outlineLevel="0" collapsed="false">
      <c r="A161" s="1"/>
      <c r="B161" s="8" t="str">
        <f aca="false">IF(D161="","","L-"&amp;TEXT(ROW()-6,"000"))</f>
        <v/>
      </c>
      <c r="C161" s="9"/>
      <c r="D161" s="10"/>
      <c r="E161" s="10"/>
      <c r="F161" s="11"/>
      <c r="G161" s="12" t="str">
        <f aca="false">IF(F161="","",IF(F161&gt;600,"Sí","No"))</f>
        <v/>
      </c>
      <c r="H161" s="10"/>
      <c r="I161" s="10"/>
      <c r="J161" s="11"/>
      <c r="K161" s="9"/>
      <c r="L161" s="10"/>
      <c r="M161" s="10"/>
      <c r="N161" s="10"/>
    </row>
    <row r="162" customFormat="false" ht="15" hidden="false" customHeight="false" outlineLevel="0" collapsed="false">
      <c r="A162" s="1"/>
      <c r="B162" s="13" t="str">
        <f aca="false">IF(D162="","","L-"&amp;TEXT(ROW()-6,"000"))</f>
        <v/>
      </c>
      <c r="C162" s="14"/>
      <c r="D162" s="15"/>
      <c r="E162" s="15"/>
      <c r="F162" s="16"/>
      <c r="G162" s="17" t="str">
        <f aca="false">IF(F162="","",IF(F162&gt;600,"Sí","No"))</f>
        <v/>
      </c>
      <c r="H162" s="15"/>
      <c r="I162" s="15"/>
      <c r="J162" s="16"/>
      <c r="K162" s="14"/>
      <c r="L162" s="15"/>
      <c r="M162" s="15"/>
      <c r="N162" s="15"/>
    </row>
    <row r="163" customFormat="false" ht="15" hidden="false" customHeight="false" outlineLevel="0" collapsed="false">
      <c r="A163" s="1"/>
      <c r="B163" s="8" t="str">
        <f aca="false">IF(D163="","","L-"&amp;TEXT(ROW()-6,"000"))</f>
        <v/>
      </c>
      <c r="C163" s="9"/>
      <c r="D163" s="10"/>
      <c r="E163" s="10"/>
      <c r="F163" s="11"/>
      <c r="G163" s="12" t="str">
        <f aca="false">IF(F163="","",IF(F163&gt;600,"Sí","No"))</f>
        <v/>
      </c>
      <c r="H163" s="10"/>
      <c r="I163" s="10"/>
      <c r="J163" s="11"/>
      <c r="K163" s="9"/>
      <c r="L163" s="10"/>
      <c r="M163" s="10"/>
      <c r="N163" s="10"/>
    </row>
    <row r="164" customFormat="false" ht="15" hidden="false" customHeight="false" outlineLevel="0" collapsed="false">
      <c r="A164" s="1"/>
      <c r="B164" s="13" t="str">
        <f aca="false">IF(D164="","","L-"&amp;TEXT(ROW()-6,"000"))</f>
        <v/>
      </c>
      <c r="C164" s="14"/>
      <c r="D164" s="15"/>
      <c r="E164" s="15"/>
      <c r="F164" s="16"/>
      <c r="G164" s="17" t="str">
        <f aca="false">IF(F164="","",IF(F164&gt;600,"Sí","No"))</f>
        <v/>
      </c>
      <c r="H164" s="15"/>
      <c r="I164" s="15"/>
      <c r="J164" s="16"/>
      <c r="K164" s="14"/>
      <c r="L164" s="15"/>
      <c r="M164" s="15"/>
      <c r="N164" s="15"/>
    </row>
    <row r="165" customFormat="false" ht="15" hidden="false" customHeight="false" outlineLevel="0" collapsed="false">
      <c r="A165" s="1"/>
      <c r="B165" s="8" t="str">
        <f aca="false">IF(D165="","","L-"&amp;TEXT(ROW()-6,"000"))</f>
        <v/>
      </c>
      <c r="C165" s="9"/>
      <c r="D165" s="10"/>
      <c r="E165" s="10"/>
      <c r="F165" s="11"/>
      <c r="G165" s="12" t="str">
        <f aca="false">IF(F165="","",IF(F165&gt;600,"Sí","No"))</f>
        <v/>
      </c>
      <c r="H165" s="10"/>
      <c r="I165" s="10"/>
      <c r="J165" s="11"/>
      <c r="K165" s="9"/>
      <c r="L165" s="10"/>
      <c r="M165" s="10"/>
      <c r="N165" s="10"/>
    </row>
    <row r="166" customFormat="false" ht="15" hidden="false" customHeight="false" outlineLevel="0" collapsed="false">
      <c r="A166" s="1"/>
      <c r="B166" s="13" t="str">
        <f aca="false">IF(D166="","","L-"&amp;TEXT(ROW()-6,"000"))</f>
        <v/>
      </c>
      <c r="C166" s="14"/>
      <c r="D166" s="15"/>
      <c r="E166" s="15"/>
      <c r="F166" s="16"/>
      <c r="G166" s="17" t="str">
        <f aca="false">IF(F166="","",IF(F166&gt;600,"Sí","No"))</f>
        <v/>
      </c>
      <c r="H166" s="15"/>
      <c r="I166" s="15"/>
      <c r="J166" s="16"/>
      <c r="K166" s="14"/>
      <c r="L166" s="15"/>
      <c r="M166" s="15"/>
      <c r="N166" s="15"/>
    </row>
    <row r="167" customFormat="false" ht="15" hidden="false" customHeight="false" outlineLevel="0" collapsed="false">
      <c r="A167" s="1"/>
      <c r="B167" s="8" t="str">
        <f aca="false">IF(D167="","","L-"&amp;TEXT(ROW()-6,"000"))</f>
        <v/>
      </c>
      <c r="C167" s="9"/>
      <c r="D167" s="10"/>
      <c r="E167" s="10"/>
      <c r="F167" s="11"/>
      <c r="G167" s="12" t="str">
        <f aca="false">IF(F167="","",IF(F167&gt;600,"Sí","No"))</f>
        <v/>
      </c>
      <c r="H167" s="10"/>
      <c r="I167" s="10"/>
      <c r="J167" s="11"/>
      <c r="K167" s="9"/>
      <c r="L167" s="10"/>
      <c r="M167" s="10"/>
      <c r="N167" s="10"/>
    </row>
    <row r="168" customFormat="false" ht="15" hidden="false" customHeight="false" outlineLevel="0" collapsed="false">
      <c r="A168" s="1"/>
      <c r="B168" s="13" t="str">
        <f aca="false">IF(D168="","","L-"&amp;TEXT(ROW()-6,"000"))</f>
        <v/>
      </c>
      <c r="C168" s="14"/>
      <c r="D168" s="15"/>
      <c r="E168" s="15"/>
      <c r="F168" s="16"/>
      <c r="G168" s="17" t="str">
        <f aca="false">IF(F168="","",IF(F168&gt;600,"Sí","No"))</f>
        <v/>
      </c>
      <c r="H168" s="15"/>
      <c r="I168" s="15"/>
      <c r="J168" s="16"/>
      <c r="K168" s="14"/>
      <c r="L168" s="15"/>
      <c r="M168" s="15"/>
      <c r="N168" s="15"/>
    </row>
    <row r="169" customFormat="false" ht="15" hidden="false" customHeight="false" outlineLevel="0" collapsed="false">
      <c r="A169" s="1"/>
      <c r="B169" s="8" t="str">
        <f aca="false">IF(D169="","","L-"&amp;TEXT(ROW()-6,"000"))</f>
        <v/>
      </c>
      <c r="C169" s="9"/>
      <c r="D169" s="10"/>
      <c r="E169" s="10"/>
      <c r="F169" s="11"/>
      <c r="G169" s="12" t="str">
        <f aca="false">IF(F169="","",IF(F169&gt;600,"Sí","No"))</f>
        <v/>
      </c>
      <c r="H169" s="10"/>
      <c r="I169" s="10"/>
      <c r="J169" s="11"/>
      <c r="K169" s="9"/>
      <c r="L169" s="10"/>
      <c r="M169" s="10"/>
      <c r="N169" s="10"/>
    </row>
    <row r="170" customFormat="false" ht="15" hidden="false" customHeight="false" outlineLevel="0" collapsed="false">
      <c r="A170" s="1"/>
      <c r="B170" s="13" t="str">
        <f aca="false">IF(D170="","","L-"&amp;TEXT(ROW()-6,"000"))</f>
        <v/>
      </c>
      <c r="C170" s="14"/>
      <c r="D170" s="15"/>
      <c r="E170" s="15"/>
      <c r="F170" s="16"/>
      <c r="G170" s="17" t="str">
        <f aca="false">IF(F170="","",IF(F170&gt;600,"Sí","No"))</f>
        <v/>
      </c>
      <c r="H170" s="15"/>
      <c r="I170" s="15"/>
      <c r="J170" s="16"/>
      <c r="K170" s="14"/>
      <c r="L170" s="15"/>
      <c r="M170" s="15"/>
      <c r="N170" s="15"/>
    </row>
    <row r="171" customFormat="false" ht="15" hidden="false" customHeight="false" outlineLevel="0" collapsed="false">
      <c r="A171" s="1"/>
      <c r="B171" s="8" t="str">
        <f aca="false">IF(D171="","","L-"&amp;TEXT(ROW()-6,"000"))</f>
        <v/>
      </c>
      <c r="C171" s="9"/>
      <c r="D171" s="10"/>
      <c r="E171" s="10"/>
      <c r="F171" s="11"/>
      <c r="G171" s="12" t="str">
        <f aca="false">IF(F171="","",IF(F171&gt;600,"Sí","No"))</f>
        <v/>
      </c>
      <c r="H171" s="10"/>
      <c r="I171" s="10"/>
      <c r="J171" s="11"/>
      <c r="K171" s="9"/>
      <c r="L171" s="10"/>
      <c r="M171" s="10"/>
      <c r="N171" s="10"/>
    </row>
    <row r="172" customFormat="false" ht="15" hidden="false" customHeight="false" outlineLevel="0" collapsed="false">
      <c r="A172" s="1"/>
      <c r="B172" s="13" t="str">
        <f aca="false">IF(D172="","","L-"&amp;TEXT(ROW()-6,"000"))</f>
        <v/>
      </c>
      <c r="C172" s="14"/>
      <c r="D172" s="15"/>
      <c r="E172" s="15"/>
      <c r="F172" s="16"/>
      <c r="G172" s="17" t="str">
        <f aca="false">IF(F172="","",IF(F172&gt;600,"Sí","No"))</f>
        <v/>
      </c>
      <c r="H172" s="15"/>
      <c r="I172" s="15"/>
      <c r="J172" s="16"/>
      <c r="K172" s="14"/>
      <c r="L172" s="15"/>
      <c r="M172" s="15"/>
      <c r="N172" s="15"/>
    </row>
    <row r="173" customFormat="false" ht="15" hidden="false" customHeight="false" outlineLevel="0" collapsed="false">
      <c r="A173" s="1"/>
      <c r="B173" s="8" t="str">
        <f aca="false">IF(D173="","","L-"&amp;TEXT(ROW()-6,"000"))</f>
        <v/>
      </c>
      <c r="C173" s="9"/>
      <c r="D173" s="10"/>
      <c r="E173" s="10"/>
      <c r="F173" s="11"/>
      <c r="G173" s="12" t="str">
        <f aca="false">IF(F173="","",IF(F173&gt;600,"Sí","No"))</f>
        <v/>
      </c>
      <c r="H173" s="10"/>
      <c r="I173" s="10"/>
      <c r="J173" s="11"/>
      <c r="K173" s="9"/>
      <c r="L173" s="10"/>
      <c r="M173" s="10"/>
      <c r="N173" s="10"/>
    </row>
    <row r="174" customFormat="false" ht="15" hidden="false" customHeight="false" outlineLevel="0" collapsed="false">
      <c r="A174" s="1"/>
      <c r="B174" s="13" t="str">
        <f aca="false">IF(D174="","","L-"&amp;TEXT(ROW()-6,"000"))</f>
        <v/>
      </c>
      <c r="C174" s="14"/>
      <c r="D174" s="15"/>
      <c r="E174" s="15"/>
      <c r="F174" s="16"/>
      <c r="G174" s="17" t="str">
        <f aca="false">IF(F174="","",IF(F174&gt;600,"Sí","No"))</f>
        <v/>
      </c>
      <c r="H174" s="15"/>
      <c r="I174" s="15"/>
      <c r="J174" s="16"/>
      <c r="K174" s="14"/>
      <c r="L174" s="15"/>
      <c r="M174" s="15"/>
      <c r="N174" s="15"/>
    </row>
    <row r="175" customFormat="false" ht="15" hidden="false" customHeight="false" outlineLevel="0" collapsed="false">
      <c r="A175" s="1"/>
      <c r="B175" s="8" t="str">
        <f aca="false">IF(D175="","","L-"&amp;TEXT(ROW()-6,"000"))</f>
        <v/>
      </c>
      <c r="C175" s="9"/>
      <c r="D175" s="10"/>
      <c r="E175" s="10"/>
      <c r="F175" s="11"/>
      <c r="G175" s="12" t="str">
        <f aca="false">IF(F175="","",IF(F175&gt;600,"Sí","No"))</f>
        <v/>
      </c>
      <c r="H175" s="10"/>
      <c r="I175" s="10"/>
      <c r="J175" s="11"/>
      <c r="K175" s="9"/>
      <c r="L175" s="10"/>
      <c r="M175" s="10"/>
      <c r="N175" s="10"/>
    </row>
    <row r="176" customFormat="false" ht="15" hidden="false" customHeight="false" outlineLevel="0" collapsed="false">
      <c r="A176" s="1"/>
      <c r="B176" s="13" t="str">
        <f aca="false">IF(D176="","","L-"&amp;TEXT(ROW()-6,"000"))</f>
        <v/>
      </c>
      <c r="C176" s="14"/>
      <c r="D176" s="15"/>
      <c r="E176" s="15"/>
      <c r="F176" s="16"/>
      <c r="G176" s="17" t="str">
        <f aca="false">IF(F176="","",IF(F176&gt;600,"Sí","No"))</f>
        <v/>
      </c>
      <c r="H176" s="15"/>
      <c r="I176" s="15"/>
      <c r="J176" s="16"/>
      <c r="K176" s="14"/>
      <c r="L176" s="15"/>
      <c r="M176" s="15"/>
      <c r="N176" s="15"/>
    </row>
    <row r="177" customFormat="false" ht="15" hidden="false" customHeight="false" outlineLevel="0" collapsed="false">
      <c r="A177" s="1"/>
      <c r="B177" s="8" t="str">
        <f aca="false">IF(D177="","","L-"&amp;TEXT(ROW()-6,"000"))</f>
        <v/>
      </c>
      <c r="C177" s="9"/>
      <c r="D177" s="10"/>
      <c r="E177" s="10"/>
      <c r="F177" s="11"/>
      <c r="G177" s="12" t="str">
        <f aca="false">IF(F177="","",IF(F177&gt;600,"Sí","No"))</f>
        <v/>
      </c>
      <c r="H177" s="10"/>
      <c r="I177" s="10"/>
      <c r="J177" s="11"/>
      <c r="K177" s="9"/>
      <c r="L177" s="10"/>
      <c r="M177" s="10"/>
      <c r="N177" s="10"/>
    </row>
    <row r="178" customFormat="false" ht="15" hidden="false" customHeight="false" outlineLevel="0" collapsed="false">
      <c r="A178" s="1"/>
      <c r="B178" s="13" t="str">
        <f aca="false">IF(D178="","","L-"&amp;TEXT(ROW()-6,"000"))</f>
        <v/>
      </c>
      <c r="C178" s="14"/>
      <c r="D178" s="15"/>
      <c r="E178" s="15"/>
      <c r="F178" s="16"/>
      <c r="G178" s="17" t="str">
        <f aca="false">IF(F178="","",IF(F178&gt;600,"Sí","No"))</f>
        <v/>
      </c>
      <c r="H178" s="15"/>
      <c r="I178" s="15"/>
      <c r="J178" s="16"/>
      <c r="K178" s="14"/>
      <c r="L178" s="15"/>
      <c r="M178" s="15"/>
      <c r="N178" s="15"/>
    </row>
    <row r="179" customFormat="false" ht="15" hidden="false" customHeight="false" outlineLevel="0" collapsed="false">
      <c r="A179" s="1"/>
      <c r="B179" s="8" t="str">
        <f aca="false">IF(D179="","","L-"&amp;TEXT(ROW()-6,"000"))</f>
        <v/>
      </c>
      <c r="C179" s="9"/>
      <c r="D179" s="10"/>
      <c r="E179" s="10"/>
      <c r="F179" s="11"/>
      <c r="G179" s="12" t="str">
        <f aca="false">IF(F179="","",IF(F179&gt;600,"Sí","No"))</f>
        <v/>
      </c>
      <c r="H179" s="10"/>
      <c r="I179" s="10"/>
      <c r="J179" s="11"/>
      <c r="K179" s="9"/>
      <c r="L179" s="10"/>
      <c r="M179" s="10"/>
      <c r="N179" s="10"/>
    </row>
    <row r="180" customFormat="false" ht="15" hidden="false" customHeight="false" outlineLevel="0" collapsed="false">
      <c r="A180" s="1"/>
      <c r="B180" s="13" t="str">
        <f aca="false">IF(D180="","","L-"&amp;TEXT(ROW()-6,"000"))</f>
        <v/>
      </c>
      <c r="C180" s="14"/>
      <c r="D180" s="15"/>
      <c r="E180" s="15"/>
      <c r="F180" s="16"/>
      <c r="G180" s="17" t="str">
        <f aca="false">IF(F180="","",IF(F180&gt;600,"Sí","No"))</f>
        <v/>
      </c>
      <c r="H180" s="15"/>
      <c r="I180" s="15"/>
      <c r="J180" s="16"/>
      <c r="K180" s="14"/>
      <c r="L180" s="15"/>
      <c r="M180" s="15"/>
      <c r="N180" s="15"/>
    </row>
    <row r="181" customFormat="false" ht="15" hidden="false" customHeight="false" outlineLevel="0" collapsed="false">
      <c r="A181" s="1"/>
      <c r="B181" s="8" t="str">
        <f aca="false">IF(D181="","","L-"&amp;TEXT(ROW()-6,"000"))</f>
        <v/>
      </c>
      <c r="C181" s="9"/>
      <c r="D181" s="10"/>
      <c r="E181" s="10"/>
      <c r="F181" s="11"/>
      <c r="G181" s="12" t="str">
        <f aca="false">IF(F181="","",IF(F181&gt;600,"Sí","No"))</f>
        <v/>
      </c>
      <c r="H181" s="10"/>
      <c r="I181" s="10"/>
      <c r="J181" s="11"/>
      <c r="K181" s="9"/>
      <c r="L181" s="10"/>
      <c r="M181" s="10"/>
      <c r="N181" s="10"/>
    </row>
    <row r="182" customFormat="false" ht="15" hidden="false" customHeight="false" outlineLevel="0" collapsed="false">
      <c r="A182" s="1"/>
      <c r="B182" s="13" t="str">
        <f aca="false">IF(D182="","","L-"&amp;TEXT(ROW()-6,"000"))</f>
        <v/>
      </c>
      <c r="C182" s="14"/>
      <c r="D182" s="15"/>
      <c r="E182" s="15"/>
      <c r="F182" s="16"/>
      <c r="G182" s="17" t="str">
        <f aca="false">IF(F182="","",IF(F182&gt;600,"Sí","No"))</f>
        <v/>
      </c>
      <c r="H182" s="15"/>
      <c r="I182" s="15"/>
      <c r="J182" s="16"/>
      <c r="K182" s="14"/>
      <c r="L182" s="15"/>
      <c r="M182" s="15"/>
      <c r="N182" s="15"/>
    </row>
    <row r="183" customFormat="false" ht="15" hidden="false" customHeight="false" outlineLevel="0" collapsed="false">
      <c r="A183" s="1"/>
      <c r="B183" s="8" t="str">
        <f aca="false">IF(D183="","","L-"&amp;TEXT(ROW()-6,"000"))</f>
        <v/>
      </c>
      <c r="C183" s="9"/>
      <c r="D183" s="10"/>
      <c r="E183" s="10"/>
      <c r="F183" s="11"/>
      <c r="G183" s="12" t="str">
        <f aca="false">IF(F183="","",IF(F183&gt;600,"Sí","No"))</f>
        <v/>
      </c>
      <c r="H183" s="10"/>
      <c r="I183" s="10"/>
      <c r="J183" s="11"/>
      <c r="K183" s="9"/>
      <c r="L183" s="10"/>
      <c r="M183" s="10"/>
      <c r="N183" s="10"/>
    </row>
    <row r="184" customFormat="false" ht="15" hidden="false" customHeight="false" outlineLevel="0" collapsed="false">
      <c r="A184" s="1"/>
      <c r="B184" s="13" t="str">
        <f aca="false">IF(D184="","","L-"&amp;TEXT(ROW()-6,"000"))</f>
        <v/>
      </c>
      <c r="C184" s="14"/>
      <c r="D184" s="15"/>
      <c r="E184" s="15"/>
      <c r="F184" s="16"/>
      <c r="G184" s="17" t="str">
        <f aca="false">IF(F184="","",IF(F184&gt;600,"Sí","No"))</f>
        <v/>
      </c>
      <c r="H184" s="15"/>
      <c r="I184" s="15"/>
      <c r="J184" s="16"/>
      <c r="K184" s="14"/>
      <c r="L184" s="15"/>
      <c r="M184" s="15"/>
      <c r="N184" s="15"/>
    </row>
    <row r="185" customFormat="false" ht="15" hidden="false" customHeight="false" outlineLevel="0" collapsed="false">
      <c r="A185" s="1"/>
      <c r="B185" s="8" t="str">
        <f aca="false">IF(D185="","","L-"&amp;TEXT(ROW()-6,"000"))</f>
        <v/>
      </c>
      <c r="C185" s="9"/>
      <c r="D185" s="10"/>
      <c r="E185" s="10"/>
      <c r="F185" s="11"/>
      <c r="G185" s="12" t="str">
        <f aca="false">IF(F185="","",IF(F185&gt;600,"Sí","No"))</f>
        <v/>
      </c>
      <c r="H185" s="10"/>
      <c r="I185" s="10"/>
      <c r="J185" s="11"/>
      <c r="K185" s="9"/>
      <c r="L185" s="10"/>
      <c r="M185" s="10"/>
      <c r="N185" s="10"/>
    </row>
    <row r="186" customFormat="false" ht="15" hidden="false" customHeight="false" outlineLevel="0" collapsed="false">
      <c r="A186" s="1"/>
      <c r="B186" s="13" t="str">
        <f aca="false">IF(D186="","","L-"&amp;TEXT(ROW()-6,"000"))</f>
        <v/>
      </c>
      <c r="C186" s="14"/>
      <c r="D186" s="15"/>
      <c r="E186" s="15"/>
      <c r="F186" s="16"/>
      <c r="G186" s="17" t="str">
        <f aca="false">IF(F186="","",IF(F186&gt;600,"Sí","No"))</f>
        <v/>
      </c>
      <c r="H186" s="15"/>
      <c r="I186" s="15"/>
      <c r="J186" s="16"/>
      <c r="K186" s="14"/>
      <c r="L186" s="15"/>
      <c r="M186" s="15"/>
      <c r="N186" s="15"/>
    </row>
    <row r="187" customFormat="false" ht="15" hidden="false" customHeight="false" outlineLevel="0" collapsed="false">
      <c r="A187" s="1"/>
      <c r="B187" s="8" t="str">
        <f aca="false">IF(D187="","","L-"&amp;TEXT(ROW()-6,"000"))</f>
        <v/>
      </c>
      <c r="C187" s="9"/>
      <c r="D187" s="10"/>
      <c r="E187" s="10"/>
      <c r="F187" s="11"/>
      <c r="G187" s="12" t="str">
        <f aca="false">IF(F187="","",IF(F187&gt;600,"Sí","No"))</f>
        <v/>
      </c>
      <c r="H187" s="10"/>
      <c r="I187" s="10"/>
      <c r="J187" s="11"/>
      <c r="K187" s="9"/>
      <c r="L187" s="10"/>
      <c r="M187" s="10"/>
      <c r="N187" s="10"/>
    </row>
    <row r="188" customFormat="false" ht="15" hidden="false" customHeight="false" outlineLevel="0" collapsed="false">
      <c r="A188" s="1"/>
      <c r="B188" s="13" t="str">
        <f aca="false">IF(D188="","","L-"&amp;TEXT(ROW()-6,"000"))</f>
        <v/>
      </c>
      <c r="C188" s="14"/>
      <c r="D188" s="15"/>
      <c r="E188" s="15"/>
      <c r="F188" s="16"/>
      <c r="G188" s="17" t="str">
        <f aca="false">IF(F188="","",IF(F188&gt;600,"Sí","No"))</f>
        <v/>
      </c>
      <c r="H188" s="15"/>
      <c r="I188" s="15"/>
      <c r="J188" s="16"/>
      <c r="K188" s="14"/>
      <c r="L188" s="15"/>
      <c r="M188" s="15"/>
      <c r="N188" s="15"/>
    </row>
    <row r="189" customFormat="false" ht="15" hidden="false" customHeight="false" outlineLevel="0" collapsed="false">
      <c r="A189" s="1"/>
      <c r="B189" s="8" t="str">
        <f aca="false">IF(D189="","","L-"&amp;TEXT(ROW()-6,"000"))</f>
        <v/>
      </c>
      <c r="C189" s="9"/>
      <c r="D189" s="10"/>
      <c r="E189" s="10"/>
      <c r="F189" s="11"/>
      <c r="G189" s="12" t="str">
        <f aca="false">IF(F189="","",IF(F189&gt;600,"Sí","No"))</f>
        <v/>
      </c>
      <c r="H189" s="10"/>
      <c r="I189" s="10"/>
      <c r="J189" s="11"/>
      <c r="K189" s="9"/>
      <c r="L189" s="10"/>
      <c r="M189" s="10"/>
      <c r="N189" s="10"/>
    </row>
    <row r="190" customFormat="false" ht="15" hidden="false" customHeight="false" outlineLevel="0" collapsed="false">
      <c r="A190" s="1"/>
      <c r="B190" s="13" t="str">
        <f aca="false">IF(D190="","","L-"&amp;TEXT(ROW()-6,"000"))</f>
        <v/>
      </c>
      <c r="C190" s="14"/>
      <c r="D190" s="15"/>
      <c r="E190" s="15"/>
      <c r="F190" s="16"/>
      <c r="G190" s="17" t="str">
        <f aca="false">IF(F190="","",IF(F190&gt;600,"Sí","No"))</f>
        <v/>
      </c>
      <c r="H190" s="15"/>
      <c r="I190" s="15"/>
      <c r="J190" s="16"/>
      <c r="K190" s="14"/>
      <c r="L190" s="15"/>
      <c r="M190" s="15"/>
      <c r="N190" s="15"/>
    </row>
    <row r="191" customFormat="false" ht="15" hidden="false" customHeight="false" outlineLevel="0" collapsed="false">
      <c r="A191" s="1"/>
      <c r="B191" s="8" t="str">
        <f aca="false">IF(D191="","","L-"&amp;TEXT(ROW()-6,"000"))</f>
        <v/>
      </c>
      <c r="C191" s="9"/>
      <c r="D191" s="10"/>
      <c r="E191" s="10"/>
      <c r="F191" s="11"/>
      <c r="G191" s="12" t="str">
        <f aca="false">IF(F191="","",IF(F191&gt;600,"Sí","No"))</f>
        <v/>
      </c>
      <c r="H191" s="10"/>
      <c r="I191" s="10"/>
      <c r="J191" s="11"/>
      <c r="K191" s="9"/>
      <c r="L191" s="10"/>
      <c r="M191" s="10"/>
      <c r="N191" s="10"/>
    </row>
    <row r="192" customFormat="false" ht="15" hidden="false" customHeight="false" outlineLevel="0" collapsed="false">
      <c r="A192" s="1"/>
      <c r="B192" s="13" t="str">
        <f aca="false">IF(D192="","","L-"&amp;TEXT(ROW()-6,"000"))</f>
        <v/>
      </c>
      <c r="C192" s="14"/>
      <c r="D192" s="15"/>
      <c r="E192" s="15"/>
      <c r="F192" s="16"/>
      <c r="G192" s="17" t="str">
        <f aca="false">IF(F192="","",IF(F192&gt;600,"Sí","No"))</f>
        <v/>
      </c>
      <c r="H192" s="15"/>
      <c r="I192" s="15"/>
      <c r="J192" s="16"/>
      <c r="K192" s="14"/>
      <c r="L192" s="15"/>
      <c r="M192" s="15"/>
      <c r="N192" s="15"/>
    </row>
    <row r="193" customFormat="false" ht="15" hidden="false" customHeight="false" outlineLevel="0" collapsed="false">
      <c r="A193" s="1"/>
      <c r="B193" s="8" t="str">
        <f aca="false">IF(D193="","","L-"&amp;TEXT(ROW()-6,"000"))</f>
        <v/>
      </c>
      <c r="C193" s="9"/>
      <c r="D193" s="10"/>
      <c r="E193" s="10"/>
      <c r="F193" s="11"/>
      <c r="G193" s="12" t="str">
        <f aca="false">IF(F193="","",IF(F193&gt;600,"Sí","No"))</f>
        <v/>
      </c>
      <c r="H193" s="10"/>
      <c r="I193" s="10"/>
      <c r="J193" s="11"/>
      <c r="K193" s="9"/>
      <c r="L193" s="10"/>
      <c r="M193" s="10"/>
      <c r="N193" s="10"/>
    </row>
    <row r="194" customFormat="false" ht="15" hidden="false" customHeight="false" outlineLevel="0" collapsed="false">
      <c r="A194" s="1"/>
      <c r="B194" s="13" t="str">
        <f aca="false">IF(D194="","","L-"&amp;TEXT(ROW()-6,"000"))</f>
        <v/>
      </c>
      <c r="C194" s="14"/>
      <c r="D194" s="15"/>
      <c r="E194" s="15"/>
      <c r="F194" s="16"/>
      <c r="G194" s="17" t="str">
        <f aca="false">IF(F194="","",IF(F194&gt;600,"Sí","No"))</f>
        <v/>
      </c>
      <c r="H194" s="15"/>
      <c r="I194" s="15"/>
      <c r="J194" s="16"/>
      <c r="K194" s="14"/>
      <c r="L194" s="15"/>
      <c r="M194" s="15"/>
      <c r="N194" s="15"/>
    </row>
    <row r="195" customFormat="false" ht="15" hidden="false" customHeight="false" outlineLevel="0" collapsed="false">
      <c r="A195" s="1"/>
      <c r="B195" s="8" t="str">
        <f aca="false">IF(D195="","","L-"&amp;TEXT(ROW()-6,"000"))</f>
        <v/>
      </c>
      <c r="C195" s="9"/>
      <c r="D195" s="10"/>
      <c r="E195" s="10"/>
      <c r="F195" s="11"/>
      <c r="G195" s="12" t="str">
        <f aca="false">IF(F195="","",IF(F195&gt;600,"Sí","No"))</f>
        <v/>
      </c>
      <c r="H195" s="10"/>
      <c r="I195" s="10"/>
      <c r="J195" s="11"/>
      <c r="K195" s="9"/>
      <c r="L195" s="10"/>
      <c r="M195" s="10"/>
      <c r="N195" s="10"/>
    </row>
    <row r="196" customFormat="false" ht="15" hidden="false" customHeight="false" outlineLevel="0" collapsed="false">
      <c r="A196" s="1"/>
      <c r="B196" s="13" t="str">
        <f aca="false">IF(D196="","","L-"&amp;TEXT(ROW()-6,"000"))</f>
        <v/>
      </c>
      <c r="C196" s="14"/>
      <c r="D196" s="15"/>
      <c r="E196" s="15"/>
      <c r="F196" s="16"/>
      <c r="G196" s="17" t="str">
        <f aca="false">IF(F196="","",IF(F196&gt;600,"Sí","No"))</f>
        <v/>
      </c>
      <c r="H196" s="15"/>
      <c r="I196" s="15"/>
      <c r="J196" s="16"/>
      <c r="K196" s="14"/>
      <c r="L196" s="15"/>
      <c r="M196" s="15"/>
      <c r="N196" s="15"/>
    </row>
    <row r="197" customFormat="false" ht="15" hidden="false" customHeight="false" outlineLevel="0" collapsed="false">
      <c r="A197" s="1"/>
      <c r="B197" s="8" t="str">
        <f aca="false">IF(D197="","","L-"&amp;TEXT(ROW()-6,"000"))</f>
        <v/>
      </c>
      <c r="C197" s="9"/>
      <c r="D197" s="10"/>
      <c r="E197" s="10"/>
      <c r="F197" s="11"/>
      <c r="G197" s="12" t="str">
        <f aca="false">IF(F197="","",IF(F197&gt;600,"Sí","No"))</f>
        <v/>
      </c>
      <c r="H197" s="10"/>
      <c r="I197" s="10"/>
      <c r="J197" s="11"/>
      <c r="K197" s="9"/>
      <c r="L197" s="10"/>
      <c r="M197" s="10"/>
      <c r="N197" s="10"/>
    </row>
    <row r="198" customFormat="false" ht="15" hidden="false" customHeight="false" outlineLevel="0" collapsed="false">
      <c r="A198" s="1"/>
      <c r="B198" s="13" t="str">
        <f aca="false">IF(D198="","","L-"&amp;TEXT(ROW()-6,"000"))</f>
        <v/>
      </c>
      <c r="C198" s="14"/>
      <c r="D198" s="15"/>
      <c r="E198" s="15"/>
      <c r="F198" s="16"/>
      <c r="G198" s="17" t="str">
        <f aca="false">IF(F198="","",IF(F198&gt;600,"Sí","No"))</f>
        <v/>
      </c>
      <c r="H198" s="15"/>
      <c r="I198" s="15"/>
      <c r="J198" s="16"/>
      <c r="K198" s="14"/>
      <c r="L198" s="15"/>
      <c r="M198" s="15"/>
      <c r="N198" s="15"/>
    </row>
    <row r="199" customFormat="false" ht="15" hidden="false" customHeight="false" outlineLevel="0" collapsed="false">
      <c r="A199" s="1"/>
      <c r="B199" s="8" t="str">
        <f aca="false">IF(D199="","","L-"&amp;TEXT(ROW()-6,"000"))</f>
        <v/>
      </c>
      <c r="C199" s="9"/>
      <c r="D199" s="10"/>
      <c r="E199" s="10"/>
      <c r="F199" s="11"/>
      <c r="G199" s="12" t="str">
        <f aca="false">IF(F199="","",IF(F199&gt;600,"Sí","No"))</f>
        <v/>
      </c>
      <c r="H199" s="10"/>
      <c r="I199" s="10"/>
      <c r="J199" s="11"/>
      <c r="K199" s="9"/>
      <c r="L199" s="10"/>
      <c r="M199" s="10"/>
      <c r="N199" s="10"/>
    </row>
    <row r="200" customFormat="false" ht="15" hidden="false" customHeight="false" outlineLevel="0" collapsed="false">
      <c r="A200" s="1"/>
      <c r="B200" s="13" t="str">
        <f aca="false">IF(D200="","","L-"&amp;TEXT(ROW()-6,"000"))</f>
        <v/>
      </c>
      <c r="C200" s="14"/>
      <c r="D200" s="15"/>
      <c r="E200" s="15"/>
      <c r="F200" s="16"/>
      <c r="G200" s="17" t="str">
        <f aca="false">IF(F200="","",IF(F200&gt;600,"Sí","No"))</f>
        <v/>
      </c>
      <c r="H200" s="15"/>
      <c r="I200" s="15"/>
      <c r="J200" s="16"/>
      <c r="K200" s="14"/>
      <c r="L200" s="15"/>
      <c r="M200" s="15"/>
      <c r="N200" s="15"/>
    </row>
    <row r="201" customFormat="false" ht="15" hidden="false" customHeight="false" outlineLevel="0" collapsed="false">
      <c r="A201" s="1"/>
      <c r="B201" s="8" t="str">
        <f aca="false">IF(D201="","","L-"&amp;TEXT(ROW()-6,"000"))</f>
        <v/>
      </c>
      <c r="C201" s="9"/>
      <c r="D201" s="10"/>
      <c r="E201" s="10"/>
      <c r="F201" s="11"/>
      <c r="G201" s="12" t="str">
        <f aca="false">IF(F201="","",IF(F201&gt;600,"Sí","No"))</f>
        <v/>
      </c>
      <c r="H201" s="10"/>
      <c r="I201" s="10"/>
      <c r="J201" s="11"/>
      <c r="K201" s="9"/>
      <c r="L201" s="10"/>
      <c r="M201" s="10"/>
      <c r="N201" s="10"/>
    </row>
    <row r="202" customFormat="false" ht="15" hidden="false" customHeight="false" outlineLevel="0" collapsed="false">
      <c r="A202" s="1"/>
      <c r="B202" s="13" t="str">
        <f aca="false">IF(D202="","","L-"&amp;TEXT(ROW()-6,"000"))</f>
        <v/>
      </c>
      <c r="C202" s="14"/>
      <c r="D202" s="15"/>
      <c r="E202" s="15"/>
      <c r="F202" s="16"/>
      <c r="G202" s="17" t="str">
        <f aca="false">IF(F202="","",IF(F202&gt;600,"Sí","No"))</f>
        <v/>
      </c>
      <c r="H202" s="15"/>
      <c r="I202" s="15"/>
      <c r="J202" s="16"/>
      <c r="K202" s="14"/>
      <c r="L202" s="15"/>
      <c r="M202" s="15"/>
      <c r="N202" s="15"/>
    </row>
    <row r="203" customFormat="false" ht="15" hidden="false" customHeight="false" outlineLevel="0" collapsed="false">
      <c r="A203" s="1"/>
      <c r="B203" s="8" t="str">
        <f aca="false">IF(D203="","","L-"&amp;TEXT(ROW()-6,"000"))</f>
        <v/>
      </c>
      <c r="C203" s="9"/>
      <c r="D203" s="10"/>
      <c r="E203" s="10"/>
      <c r="F203" s="11"/>
      <c r="G203" s="12" t="str">
        <f aca="false">IF(F203="","",IF(F203&gt;600,"Sí","No"))</f>
        <v/>
      </c>
      <c r="H203" s="10"/>
      <c r="I203" s="10"/>
      <c r="J203" s="11"/>
      <c r="K203" s="9"/>
      <c r="L203" s="10"/>
      <c r="M203" s="10"/>
      <c r="N203" s="10"/>
    </row>
    <row r="204" customFormat="false" ht="15" hidden="false" customHeight="false" outlineLevel="0" collapsed="false">
      <c r="A204" s="1"/>
      <c r="B204" s="13" t="str">
        <f aca="false">IF(D204="","","L-"&amp;TEXT(ROW()-6,"000"))</f>
        <v/>
      </c>
      <c r="C204" s="14"/>
      <c r="D204" s="15"/>
      <c r="E204" s="15"/>
      <c r="F204" s="16"/>
      <c r="G204" s="17" t="str">
        <f aca="false">IF(F204="","",IF(F204&gt;600,"Sí","No"))</f>
        <v/>
      </c>
      <c r="H204" s="15"/>
      <c r="I204" s="15"/>
      <c r="J204" s="16"/>
      <c r="K204" s="14"/>
      <c r="L204" s="15"/>
      <c r="M204" s="15"/>
      <c r="N204" s="15"/>
    </row>
    <row r="205" customFormat="false" ht="15" hidden="false" customHeight="false" outlineLevel="0" collapsed="false">
      <c r="A205" s="1"/>
      <c r="B205" s="8" t="str">
        <f aca="false">IF(D205="","","L-"&amp;TEXT(ROW()-6,"000"))</f>
        <v/>
      </c>
      <c r="C205" s="9"/>
      <c r="D205" s="10"/>
      <c r="E205" s="10"/>
      <c r="F205" s="11"/>
      <c r="G205" s="12" t="str">
        <f aca="false">IF(F205="","",IF(F205&gt;600,"Sí","No"))</f>
        <v/>
      </c>
      <c r="H205" s="10"/>
      <c r="I205" s="10"/>
      <c r="J205" s="11"/>
      <c r="K205" s="9"/>
      <c r="L205" s="10"/>
      <c r="M205" s="10"/>
      <c r="N205" s="10"/>
    </row>
    <row r="206" customFormat="false" ht="15" hidden="false" customHeight="false" outlineLevel="0" collapsed="false">
      <c r="A206" s="1"/>
      <c r="B206" s="13" t="str">
        <f aca="false">IF(D206="","","L-"&amp;TEXT(ROW()-6,"000"))</f>
        <v/>
      </c>
      <c r="C206" s="14"/>
      <c r="D206" s="15"/>
      <c r="E206" s="15"/>
      <c r="F206" s="16"/>
      <c r="G206" s="17" t="str">
        <f aca="false">IF(F206="","",IF(F206&gt;600,"Sí","No"))</f>
        <v/>
      </c>
      <c r="H206" s="15"/>
      <c r="I206" s="15"/>
      <c r="J206" s="16"/>
      <c r="K206" s="14"/>
      <c r="L206" s="15"/>
      <c r="M206" s="15"/>
      <c r="N206" s="15"/>
    </row>
    <row r="207" customFormat="false" ht="15" hidden="false" customHeight="false" outlineLevel="0" collapsed="false">
      <c r="A207" s="1"/>
      <c r="B207" s="8" t="str">
        <f aca="false">IF(D207="","","L-"&amp;TEXT(ROW()-6,"000"))</f>
        <v/>
      </c>
      <c r="C207" s="9"/>
      <c r="D207" s="10"/>
      <c r="E207" s="10"/>
      <c r="F207" s="11"/>
      <c r="G207" s="12" t="str">
        <f aca="false">IF(F207="","",IF(F207&gt;600,"Sí","No"))</f>
        <v/>
      </c>
      <c r="H207" s="10"/>
      <c r="I207" s="10"/>
      <c r="J207" s="11"/>
      <c r="K207" s="9"/>
      <c r="L207" s="10"/>
      <c r="M207" s="10"/>
      <c r="N207" s="10"/>
    </row>
    <row r="208" customFormat="false" ht="15" hidden="false" customHeight="false" outlineLevel="0" collapsed="false">
      <c r="A208" s="1"/>
      <c r="B208" s="13" t="str">
        <f aca="false">IF(D208="","","L-"&amp;TEXT(ROW()-6,"000"))</f>
        <v/>
      </c>
      <c r="C208" s="14"/>
      <c r="D208" s="15"/>
      <c r="E208" s="15"/>
      <c r="F208" s="16"/>
      <c r="G208" s="17" t="str">
        <f aca="false">IF(F208="","",IF(F208&gt;600,"Sí","No"))</f>
        <v/>
      </c>
      <c r="H208" s="15"/>
      <c r="I208" s="15"/>
      <c r="J208" s="16"/>
      <c r="K208" s="14"/>
      <c r="L208" s="15"/>
      <c r="M208" s="15"/>
      <c r="N208" s="15"/>
    </row>
    <row r="209" customFormat="false" ht="15" hidden="false" customHeight="false" outlineLevel="0" collapsed="false">
      <c r="A209" s="1"/>
      <c r="B209" s="8" t="str">
        <f aca="false">IF(D209="","","L-"&amp;TEXT(ROW()-6,"000"))</f>
        <v/>
      </c>
      <c r="C209" s="9"/>
      <c r="D209" s="10"/>
      <c r="E209" s="10"/>
      <c r="F209" s="11"/>
      <c r="G209" s="12" t="str">
        <f aca="false">IF(F209="","",IF(F209&gt;600,"Sí","No"))</f>
        <v/>
      </c>
      <c r="H209" s="10"/>
      <c r="I209" s="10"/>
      <c r="J209" s="11"/>
      <c r="K209" s="9"/>
      <c r="L209" s="10"/>
      <c r="M209" s="10"/>
      <c r="N209" s="10"/>
    </row>
    <row r="210" customFormat="false" ht="15" hidden="false" customHeight="false" outlineLevel="0" collapsed="false">
      <c r="A210" s="1"/>
      <c r="B210" s="13" t="str">
        <f aca="false">IF(D210="","","L-"&amp;TEXT(ROW()-6,"000"))</f>
        <v/>
      </c>
      <c r="C210" s="14"/>
      <c r="D210" s="15"/>
      <c r="E210" s="15"/>
      <c r="F210" s="16"/>
      <c r="G210" s="17" t="str">
        <f aca="false">IF(F210="","",IF(F210&gt;600,"Sí","No"))</f>
        <v/>
      </c>
      <c r="H210" s="15"/>
      <c r="I210" s="15"/>
      <c r="J210" s="16"/>
      <c r="K210" s="14"/>
      <c r="L210" s="15"/>
      <c r="M210" s="15"/>
      <c r="N210" s="15"/>
    </row>
    <row r="211" customFormat="false" ht="15" hidden="false" customHeight="false" outlineLevel="0" collapsed="false">
      <c r="A211" s="1"/>
      <c r="B211" s="8" t="str">
        <f aca="false">IF(D211="","","L-"&amp;TEXT(ROW()-6,"000"))</f>
        <v/>
      </c>
      <c r="C211" s="9"/>
      <c r="D211" s="10"/>
      <c r="E211" s="10"/>
      <c r="F211" s="11"/>
      <c r="G211" s="12" t="str">
        <f aca="false">IF(F211="","",IF(F211&gt;600,"Sí","No"))</f>
        <v/>
      </c>
      <c r="H211" s="10"/>
      <c r="I211" s="10"/>
      <c r="J211" s="11"/>
      <c r="K211" s="9"/>
      <c r="L211" s="10"/>
      <c r="M211" s="10"/>
      <c r="N211" s="10"/>
    </row>
    <row r="212" customFormat="false" ht="15" hidden="false" customHeight="false" outlineLevel="0" collapsed="false">
      <c r="A212" s="1"/>
      <c r="B212" s="13" t="str">
        <f aca="false">IF(D212="","","L-"&amp;TEXT(ROW()-6,"000"))</f>
        <v/>
      </c>
      <c r="C212" s="14"/>
      <c r="D212" s="15"/>
      <c r="E212" s="15"/>
      <c r="F212" s="16"/>
      <c r="G212" s="17" t="str">
        <f aca="false">IF(F212="","",IF(F212&gt;600,"Sí","No"))</f>
        <v/>
      </c>
      <c r="H212" s="15"/>
      <c r="I212" s="15"/>
      <c r="J212" s="16"/>
      <c r="K212" s="14"/>
      <c r="L212" s="15"/>
      <c r="M212" s="15"/>
      <c r="N212" s="15"/>
    </row>
    <row r="213" customFormat="false" ht="15" hidden="false" customHeight="false" outlineLevel="0" collapsed="false">
      <c r="A213" s="1"/>
      <c r="B213" s="8" t="str">
        <f aca="false">IF(D213="","","L-"&amp;TEXT(ROW()-6,"000"))</f>
        <v/>
      </c>
      <c r="C213" s="9"/>
      <c r="D213" s="10"/>
      <c r="E213" s="10"/>
      <c r="F213" s="11"/>
      <c r="G213" s="12" t="str">
        <f aca="false">IF(F213="","",IF(F213&gt;600,"Sí","No"))</f>
        <v/>
      </c>
      <c r="H213" s="10"/>
      <c r="I213" s="10"/>
      <c r="J213" s="11"/>
      <c r="K213" s="9"/>
      <c r="L213" s="10"/>
      <c r="M213" s="10"/>
      <c r="N213" s="10"/>
    </row>
    <row r="214" customFormat="false" ht="15" hidden="false" customHeight="false" outlineLevel="0" collapsed="false">
      <c r="A214" s="1"/>
      <c r="B214" s="13" t="str">
        <f aca="false">IF(D214="","","L-"&amp;TEXT(ROW()-6,"000"))</f>
        <v/>
      </c>
      <c r="C214" s="14"/>
      <c r="D214" s="15"/>
      <c r="E214" s="15"/>
      <c r="F214" s="16"/>
      <c r="G214" s="17" t="str">
        <f aca="false">IF(F214="","",IF(F214&gt;600,"Sí","No"))</f>
        <v/>
      </c>
      <c r="H214" s="15"/>
      <c r="I214" s="15"/>
      <c r="J214" s="16"/>
      <c r="K214" s="14"/>
      <c r="L214" s="15"/>
      <c r="M214" s="15"/>
      <c r="N214" s="15"/>
    </row>
    <row r="215" customFormat="false" ht="15" hidden="false" customHeight="false" outlineLevel="0" collapsed="false">
      <c r="A215" s="1"/>
      <c r="B215" s="8" t="str">
        <f aca="false">IF(D215="","","L-"&amp;TEXT(ROW()-6,"000"))</f>
        <v/>
      </c>
      <c r="C215" s="9"/>
      <c r="D215" s="10"/>
      <c r="E215" s="10"/>
      <c r="F215" s="11"/>
      <c r="G215" s="12" t="str">
        <f aca="false">IF(F215="","",IF(F215&gt;600,"Sí","No"))</f>
        <v/>
      </c>
      <c r="H215" s="10"/>
      <c r="I215" s="10"/>
      <c r="J215" s="11"/>
      <c r="K215" s="9"/>
      <c r="L215" s="10"/>
      <c r="M215" s="10"/>
      <c r="N215" s="10"/>
    </row>
    <row r="216" customFormat="false" ht="15" hidden="false" customHeight="false" outlineLevel="0" collapsed="false">
      <c r="A216" s="1"/>
      <c r="B216" s="13" t="str">
        <f aca="false">IF(D216="","","L-"&amp;TEXT(ROW()-6,"000"))</f>
        <v/>
      </c>
      <c r="C216" s="14"/>
      <c r="D216" s="15"/>
      <c r="E216" s="15"/>
      <c r="F216" s="16"/>
      <c r="G216" s="17" t="str">
        <f aca="false">IF(F216="","",IF(F216&gt;600,"Sí","No"))</f>
        <v/>
      </c>
      <c r="H216" s="15"/>
      <c r="I216" s="15"/>
      <c r="J216" s="16"/>
      <c r="K216" s="14"/>
      <c r="L216" s="15"/>
      <c r="M216" s="15"/>
      <c r="N216" s="15"/>
    </row>
    <row r="217" customFormat="false" ht="15" hidden="false" customHeight="false" outlineLevel="0" collapsed="false">
      <c r="A217" s="1"/>
      <c r="B217" s="8" t="str">
        <f aca="false">IF(D217="","","L-"&amp;TEXT(ROW()-6,"000"))</f>
        <v/>
      </c>
      <c r="C217" s="9"/>
      <c r="D217" s="10"/>
      <c r="E217" s="10"/>
      <c r="F217" s="11"/>
      <c r="G217" s="12" t="str">
        <f aca="false">IF(F217="","",IF(F217&gt;600,"Sí","No"))</f>
        <v/>
      </c>
      <c r="H217" s="10"/>
      <c r="I217" s="10"/>
      <c r="J217" s="11"/>
      <c r="K217" s="9"/>
      <c r="L217" s="10"/>
      <c r="M217" s="10"/>
      <c r="N217" s="10"/>
    </row>
    <row r="218" customFormat="false" ht="15" hidden="false" customHeight="false" outlineLevel="0" collapsed="false">
      <c r="A218" s="1"/>
      <c r="B218" s="13" t="str">
        <f aca="false">IF(D218="","","L-"&amp;TEXT(ROW()-6,"000"))</f>
        <v/>
      </c>
      <c r="C218" s="14"/>
      <c r="D218" s="15"/>
      <c r="E218" s="15"/>
      <c r="F218" s="16"/>
      <c r="G218" s="17" t="str">
        <f aca="false">IF(F218="","",IF(F218&gt;600,"Sí","No"))</f>
        <v/>
      </c>
      <c r="H218" s="15"/>
      <c r="I218" s="15"/>
      <c r="J218" s="16"/>
      <c r="K218" s="14"/>
      <c r="L218" s="15"/>
      <c r="M218" s="15"/>
      <c r="N218" s="15"/>
    </row>
    <row r="219" customFormat="false" ht="15" hidden="false" customHeight="false" outlineLevel="0" collapsed="false">
      <c r="A219" s="1"/>
      <c r="B219" s="8" t="str">
        <f aca="false">IF(D219="","","L-"&amp;TEXT(ROW()-6,"000"))</f>
        <v/>
      </c>
      <c r="C219" s="9"/>
      <c r="D219" s="10"/>
      <c r="E219" s="10"/>
      <c r="F219" s="11"/>
      <c r="G219" s="12" t="str">
        <f aca="false">IF(F219="","",IF(F219&gt;600,"Sí","No"))</f>
        <v/>
      </c>
      <c r="H219" s="10"/>
      <c r="I219" s="10"/>
      <c r="J219" s="11"/>
      <c r="K219" s="9"/>
      <c r="L219" s="10"/>
      <c r="M219" s="10"/>
      <c r="N219" s="10"/>
    </row>
    <row r="220" customFormat="false" ht="15" hidden="false" customHeight="false" outlineLevel="0" collapsed="false">
      <c r="A220" s="1"/>
      <c r="B220" s="13" t="str">
        <f aca="false">IF(D220="","","L-"&amp;TEXT(ROW()-6,"000"))</f>
        <v/>
      </c>
      <c r="C220" s="14"/>
      <c r="D220" s="15"/>
      <c r="E220" s="15"/>
      <c r="F220" s="16"/>
      <c r="G220" s="17" t="str">
        <f aca="false">IF(F220="","",IF(F220&gt;600,"Sí","No"))</f>
        <v/>
      </c>
      <c r="H220" s="15"/>
      <c r="I220" s="15"/>
      <c r="J220" s="16"/>
      <c r="K220" s="14"/>
      <c r="L220" s="15"/>
      <c r="M220" s="15"/>
      <c r="N220" s="15"/>
    </row>
    <row r="221" customFormat="false" ht="15" hidden="false" customHeight="false" outlineLevel="0" collapsed="false">
      <c r="A221" s="1"/>
      <c r="B221" s="8" t="str">
        <f aca="false">IF(D221="","","L-"&amp;TEXT(ROW()-6,"000"))</f>
        <v/>
      </c>
      <c r="C221" s="9"/>
      <c r="D221" s="10"/>
      <c r="E221" s="10"/>
      <c r="F221" s="11"/>
      <c r="G221" s="12" t="str">
        <f aca="false">IF(F221="","",IF(F221&gt;600,"Sí","No"))</f>
        <v/>
      </c>
      <c r="H221" s="10"/>
      <c r="I221" s="10"/>
      <c r="J221" s="11"/>
      <c r="K221" s="9"/>
      <c r="L221" s="10"/>
      <c r="M221" s="10"/>
      <c r="N221" s="10"/>
    </row>
    <row r="222" customFormat="false" ht="15" hidden="false" customHeight="false" outlineLevel="0" collapsed="false">
      <c r="A222" s="1"/>
      <c r="B222" s="13" t="str">
        <f aca="false">IF(D222="","","L-"&amp;TEXT(ROW()-6,"000"))</f>
        <v/>
      </c>
      <c r="C222" s="14"/>
      <c r="D222" s="15"/>
      <c r="E222" s="15"/>
      <c r="F222" s="16"/>
      <c r="G222" s="17" t="str">
        <f aca="false">IF(F222="","",IF(F222&gt;600,"Sí","No"))</f>
        <v/>
      </c>
      <c r="H222" s="15"/>
      <c r="I222" s="15"/>
      <c r="J222" s="16"/>
      <c r="K222" s="14"/>
      <c r="L222" s="15"/>
      <c r="M222" s="15"/>
      <c r="N222" s="15"/>
    </row>
    <row r="223" customFormat="false" ht="15" hidden="false" customHeight="false" outlineLevel="0" collapsed="false">
      <c r="A223" s="1"/>
      <c r="B223" s="8" t="str">
        <f aca="false">IF(D223="","","L-"&amp;TEXT(ROW()-6,"000"))</f>
        <v/>
      </c>
      <c r="C223" s="9"/>
      <c r="D223" s="10"/>
      <c r="E223" s="10"/>
      <c r="F223" s="11"/>
      <c r="G223" s="12" t="str">
        <f aca="false">IF(F223="","",IF(F223&gt;600,"Sí","No"))</f>
        <v/>
      </c>
      <c r="H223" s="10"/>
      <c r="I223" s="10"/>
      <c r="J223" s="11"/>
      <c r="K223" s="9"/>
      <c r="L223" s="10"/>
      <c r="M223" s="10"/>
      <c r="N223" s="10"/>
    </row>
    <row r="224" customFormat="false" ht="15" hidden="false" customHeight="false" outlineLevel="0" collapsed="false">
      <c r="A224" s="1"/>
      <c r="B224" s="13" t="str">
        <f aca="false">IF(D224="","","L-"&amp;TEXT(ROW()-6,"000"))</f>
        <v/>
      </c>
      <c r="C224" s="14"/>
      <c r="D224" s="15"/>
      <c r="E224" s="15"/>
      <c r="F224" s="16"/>
      <c r="G224" s="17" t="str">
        <f aca="false">IF(F224="","",IF(F224&gt;600,"Sí","No"))</f>
        <v/>
      </c>
      <c r="H224" s="15"/>
      <c r="I224" s="15"/>
      <c r="J224" s="16"/>
      <c r="K224" s="14"/>
      <c r="L224" s="15"/>
      <c r="M224" s="15"/>
      <c r="N224" s="15"/>
    </row>
    <row r="225" customFormat="false" ht="15" hidden="false" customHeight="false" outlineLevel="0" collapsed="false">
      <c r="A225" s="1"/>
      <c r="B225" s="8" t="str">
        <f aca="false">IF(D225="","","L-"&amp;TEXT(ROW()-6,"000"))</f>
        <v/>
      </c>
      <c r="C225" s="9"/>
      <c r="D225" s="10"/>
      <c r="E225" s="10"/>
      <c r="F225" s="11"/>
      <c r="G225" s="12" t="str">
        <f aca="false">IF(F225="","",IF(F225&gt;600,"Sí","No"))</f>
        <v/>
      </c>
      <c r="H225" s="10"/>
      <c r="I225" s="10"/>
      <c r="J225" s="11"/>
      <c r="K225" s="9"/>
      <c r="L225" s="10"/>
      <c r="M225" s="10"/>
      <c r="N225" s="10"/>
    </row>
    <row r="226" customFormat="false" ht="15" hidden="false" customHeight="false" outlineLevel="0" collapsed="false">
      <c r="A226" s="1"/>
      <c r="B226" s="13" t="str">
        <f aca="false">IF(D226="","","L-"&amp;TEXT(ROW()-6,"000"))</f>
        <v/>
      </c>
      <c r="C226" s="14"/>
      <c r="D226" s="15"/>
      <c r="E226" s="15"/>
      <c r="F226" s="16"/>
      <c r="G226" s="17" t="str">
        <f aca="false">IF(F226="","",IF(F226&gt;600,"Sí","No"))</f>
        <v/>
      </c>
      <c r="H226" s="15"/>
      <c r="I226" s="15"/>
      <c r="J226" s="16"/>
      <c r="K226" s="14"/>
      <c r="L226" s="15"/>
      <c r="M226" s="15"/>
      <c r="N226" s="15"/>
    </row>
    <row r="227" customFormat="false" ht="15" hidden="false" customHeight="false" outlineLevel="0" collapsed="false">
      <c r="A227" s="1"/>
      <c r="B227" s="8" t="str">
        <f aca="false">IF(D227="","","L-"&amp;TEXT(ROW()-6,"000"))</f>
        <v/>
      </c>
      <c r="C227" s="9"/>
      <c r="D227" s="10"/>
      <c r="E227" s="10"/>
      <c r="F227" s="11"/>
      <c r="G227" s="12" t="str">
        <f aca="false">IF(F227="","",IF(F227&gt;600,"Sí","No"))</f>
        <v/>
      </c>
      <c r="H227" s="10"/>
      <c r="I227" s="10"/>
      <c r="J227" s="11"/>
      <c r="K227" s="9"/>
      <c r="L227" s="10"/>
      <c r="M227" s="10"/>
      <c r="N227" s="10"/>
    </row>
    <row r="228" customFormat="false" ht="15" hidden="false" customHeight="false" outlineLevel="0" collapsed="false">
      <c r="A228" s="1"/>
      <c r="B228" s="13" t="str">
        <f aca="false">IF(D228="","","L-"&amp;TEXT(ROW()-6,"000"))</f>
        <v/>
      </c>
      <c r="C228" s="14"/>
      <c r="D228" s="15"/>
      <c r="E228" s="15"/>
      <c r="F228" s="16"/>
      <c r="G228" s="17" t="str">
        <f aca="false">IF(F228="","",IF(F228&gt;600,"Sí","No"))</f>
        <v/>
      </c>
      <c r="H228" s="15"/>
      <c r="I228" s="15"/>
      <c r="J228" s="16"/>
      <c r="K228" s="14"/>
      <c r="L228" s="15"/>
      <c r="M228" s="15"/>
      <c r="N228" s="15"/>
    </row>
    <row r="229" customFormat="false" ht="15" hidden="false" customHeight="false" outlineLevel="0" collapsed="false">
      <c r="A229" s="1"/>
      <c r="B229" s="8" t="str">
        <f aca="false">IF(D229="","","L-"&amp;TEXT(ROW()-6,"000"))</f>
        <v/>
      </c>
      <c r="C229" s="9"/>
      <c r="D229" s="10"/>
      <c r="E229" s="10"/>
      <c r="F229" s="11"/>
      <c r="G229" s="12" t="str">
        <f aca="false">IF(F229="","",IF(F229&gt;600,"Sí","No"))</f>
        <v/>
      </c>
      <c r="H229" s="10"/>
      <c r="I229" s="10"/>
      <c r="J229" s="11"/>
      <c r="K229" s="9"/>
      <c r="L229" s="10"/>
      <c r="M229" s="10"/>
      <c r="N229" s="10"/>
    </row>
    <row r="230" customFormat="false" ht="15" hidden="false" customHeight="false" outlineLevel="0" collapsed="false">
      <c r="A230" s="1"/>
      <c r="B230" s="13" t="str">
        <f aca="false">IF(D230="","","L-"&amp;TEXT(ROW()-6,"000"))</f>
        <v/>
      </c>
      <c r="C230" s="14"/>
      <c r="D230" s="15"/>
      <c r="E230" s="15"/>
      <c r="F230" s="16"/>
      <c r="G230" s="17" t="str">
        <f aca="false">IF(F230="","",IF(F230&gt;600,"Sí","No"))</f>
        <v/>
      </c>
      <c r="H230" s="15"/>
      <c r="I230" s="15"/>
      <c r="J230" s="16"/>
      <c r="K230" s="14"/>
      <c r="L230" s="15"/>
      <c r="M230" s="15"/>
      <c r="N230" s="15"/>
    </row>
    <row r="231" customFormat="false" ht="15" hidden="false" customHeight="false" outlineLevel="0" collapsed="false">
      <c r="A231" s="1"/>
      <c r="B231" s="8" t="str">
        <f aca="false">IF(D231="","","L-"&amp;TEXT(ROW()-6,"000"))</f>
        <v/>
      </c>
      <c r="C231" s="9"/>
      <c r="D231" s="10"/>
      <c r="E231" s="10"/>
      <c r="F231" s="11"/>
      <c r="G231" s="12" t="str">
        <f aca="false">IF(F231="","",IF(F231&gt;600,"Sí","No"))</f>
        <v/>
      </c>
      <c r="H231" s="10"/>
      <c r="I231" s="10"/>
      <c r="J231" s="11"/>
      <c r="K231" s="9"/>
      <c r="L231" s="10"/>
      <c r="M231" s="10"/>
      <c r="N231" s="10"/>
    </row>
    <row r="232" customFormat="false" ht="15" hidden="false" customHeight="false" outlineLevel="0" collapsed="false">
      <c r="A232" s="1"/>
      <c r="B232" s="13" t="str">
        <f aca="false">IF(D232="","","L-"&amp;TEXT(ROW()-6,"000"))</f>
        <v/>
      </c>
      <c r="C232" s="14"/>
      <c r="D232" s="15"/>
      <c r="E232" s="15"/>
      <c r="F232" s="16"/>
      <c r="G232" s="17" t="str">
        <f aca="false">IF(F232="","",IF(F232&gt;600,"Sí","No"))</f>
        <v/>
      </c>
      <c r="H232" s="15"/>
      <c r="I232" s="15"/>
      <c r="J232" s="16"/>
      <c r="K232" s="14"/>
      <c r="L232" s="15"/>
      <c r="M232" s="15"/>
      <c r="N232" s="15"/>
    </row>
    <row r="233" customFormat="false" ht="15" hidden="false" customHeight="false" outlineLevel="0" collapsed="false">
      <c r="A233" s="1"/>
      <c r="B233" s="8" t="str">
        <f aca="false">IF(D233="","","L-"&amp;TEXT(ROW()-6,"000"))</f>
        <v/>
      </c>
      <c r="C233" s="9"/>
      <c r="D233" s="10"/>
      <c r="E233" s="10"/>
      <c r="F233" s="11"/>
      <c r="G233" s="12" t="str">
        <f aca="false">IF(F233="","",IF(F233&gt;600,"Sí","No"))</f>
        <v/>
      </c>
      <c r="H233" s="10"/>
      <c r="I233" s="10"/>
      <c r="J233" s="11"/>
      <c r="K233" s="9"/>
      <c r="L233" s="10"/>
      <c r="M233" s="10"/>
      <c r="N233" s="10"/>
    </row>
    <row r="234" customFormat="false" ht="15" hidden="false" customHeight="false" outlineLevel="0" collapsed="false">
      <c r="A234" s="1"/>
      <c r="B234" s="13" t="str">
        <f aca="false">IF(D234="","","L-"&amp;TEXT(ROW()-6,"000"))</f>
        <v/>
      </c>
      <c r="C234" s="14"/>
      <c r="D234" s="15"/>
      <c r="E234" s="15"/>
      <c r="F234" s="16"/>
      <c r="G234" s="17" t="str">
        <f aca="false">IF(F234="","",IF(F234&gt;600,"Sí","No"))</f>
        <v/>
      </c>
      <c r="H234" s="15"/>
      <c r="I234" s="15"/>
      <c r="J234" s="16"/>
      <c r="K234" s="14"/>
      <c r="L234" s="15"/>
      <c r="M234" s="15"/>
      <c r="N234" s="15"/>
    </row>
    <row r="235" customFormat="false" ht="15" hidden="false" customHeight="false" outlineLevel="0" collapsed="false">
      <c r="A235" s="1"/>
      <c r="B235" s="8" t="str">
        <f aca="false">IF(D235="","","L-"&amp;TEXT(ROW()-6,"000"))</f>
        <v/>
      </c>
      <c r="C235" s="9"/>
      <c r="D235" s="10"/>
      <c r="E235" s="10"/>
      <c r="F235" s="11"/>
      <c r="G235" s="12" t="str">
        <f aca="false">IF(F235="","",IF(F235&gt;600,"Sí","No"))</f>
        <v/>
      </c>
      <c r="H235" s="10"/>
      <c r="I235" s="10"/>
      <c r="J235" s="11"/>
      <c r="K235" s="9"/>
      <c r="L235" s="10"/>
      <c r="M235" s="10"/>
      <c r="N235" s="10"/>
    </row>
    <row r="236" customFormat="false" ht="15" hidden="false" customHeight="false" outlineLevel="0" collapsed="false">
      <c r="A236" s="1"/>
      <c r="B236" s="13" t="str">
        <f aca="false">IF(D236="","","L-"&amp;TEXT(ROW()-6,"000"))</f>
        <v/>
      </c>
      <c r="C236" s="14"/>
      <c r="D236" s="15"/>
      <c r="E236" s="15"/>
      <c r="F236" s="16"/>
      <c r="G236" s="17" t="str">
        <f aca="false">IF(F236="","",IF(F236&gt;600,"Sí","No"))</f>
        <v/>
      </c>
      <c r="H236" s="15"/>
      <c r="I236" s="15"/>
      <c r="J236" s="16"/>
      <c r="K236" s="14"/>
      <c r="L236" s="15"/>
      <c r="M236" s="15"/>
      <c r="N236" s="15"/>
    </row>
    <row r="237" customFormat="false" ht="15" hidden="false" customHeight="false" outlineLevel="0" collapsed="false">
      <c r="A237" s="1"/>
      <c r="B237" s="8" t="str">
        <f aca="false">IF(D237="","","L-"&amp;TEXT(ROW()-6,"000"))</f>
        <v/>
      </c>
      <c r="C237" s="9"/>
      <c r="D237" s="10"/>
      <c r="E237" s="10"/>
      <c r="F237" s="11"/>
      <c r="G237" s="12" t="str">
        <f aca="false">IF(F237="","",IF(F237&gt;600,"Sí","No"))</f>
        <v/>
      </c>
      <c r="H237" s="10"/>
      <c r="I237" s="10"/>
      <c r="J237" s="11"/>
      <c r="K237" s="9"/>
      <c r="L237" s="10"/>
      <c r="M237" s="10"/>
      <c r="N237" s="10"/>
    </row>
    <row r="238" customFormat="false" ht="15" hidden="false" customHeight="false" outlineLevel="0" collapsed="false">
      <c r="A238" s="1"/>
      <c r="B238" s="13" t="str">
        <f aca="false">IF(D238="","","L-"&amp;TEXT(ROW()-6,"000"))</f>
        <v/>
      </c>
      <c r="C238" s="14"/>
      <c r="D238" s="15"/>
      <c r="E238" s="15"/>
      <c r="F238" s="16"/>
      <c r="G238" s="17" t="str">
        <f aca="false">IF(F238="","",IF(F238&gt;600,"Sí","No"))</f>
        <v/>
      </c>
      <c r="H238" s="15"/>
      <c r="I238" s="15"/>
      <c r="J238" s="16"/>
      <c r="K238" s="14"/>
      <c r="L238" s="15"/>
      <c r="M238" s="15"/>
      <c r="N238" s="15"/>
    </row>
    <row r="239" customFormat="false" ht="15" hidden="false" customHeight="false" outlineLevel="0" collapsed="false">
      <c r="A239" s="1"/>
      <c r="B239" s="8" t="str">
        <f aca="false">IF(D239="","","L-"&amp;TEXT(ROW()-6,"000"))</f>
        <v/>
      </c>
      <c r="C239" s="9"/>
      <c r="D239" s="10"/>
      <c r="E239" s="10"/>
      <c r="F239" s="11"/>
      <c r="G239" s="12" t="str">
        <f aca="false">IF(F239="","",IF(F239&gt;600,"Sí","No"))</f>
        <v/>
      </c>
      <c r="H239" s="10"/>
      <c r="I239" s="10"/>
      <c r="J239" s="11"/>
      <c r="K239" s="9"/>
      <c r="L239" s="10"/>
      <c r="M239" s="10"/>
      <c r="N239" s="10"/>
    </row>
    <row r="240" customFormat="false" ht="15" hidden="false" customHeight="false" outlineLevel="0" collapsed="false">
      <c r="A240" s="1"/>
      <c r="B240" s="13" t="str">
        <f aca="false">IF(D240="","","L-"&amp;TEXT(ROW()-6,"000"))</f>
        <v/>
      </c>
      <c r="C240" s="14"/>
      <c r="D240" s="15"/>
      <c r="E240" s="15"/>
      <c r="F240" s="16"/>
      <c r="G240" s="17" t="str">
        <f aca="false">IF(F240="","",IF(F240&gt;600,"Sí","No"))</f>
        <v/>
      </c>
      <c r="H240" s="15"/>
      <c r="I240" s="15"/>
      <c r="J240" s="16"/>
      <c r="K240" s="14"/>
      <c r="L240" s="15"/>
      <c r="M240" s="15"/>
      <c r="N240" s="15"/>
    </row>
    <row r="241" customFormat="false" ht="15" hidden="false" customHeight="false" outlineLevel="0" collapsed="false">
      <c r="A241" s="1"/>
      <c r="B241" s="8" t="str">
        <f aca="false">IF(D241="","","L-"&amp;TEXT(ROW()-6,"000"))</f>
        <v/>
      </c>
      <c r="C241" s="9"/>
      <c r="D241" s="10"/>
      <c r="E241" s="10"/>
      <c r="F241" s="11"/>
      <c r="G241" s="12" t="str">
        <f aca="false">IF(F241="","",IF(F241&gt;600,"Sí","No"))</f>
        <v/>
      </c>
      <c r="H241" s="10"/>
      <c r="I241" s="10"/>
      <c r="J241" s="11"/>
      <c r="K241" s="9"/>
      <c r="L241" s="10"/>
      <c r="M241" s="10"/>
      <c r="N241" s="10"/>
    </row>
    <row r="242" customFormat="false" ht="15" hidden="false" customHeight="false" outlineLevel="0" collapsed="false">
      <c r="A242" s="1"/>
      <c r="B242" s="13" t="str">
        <f aca="false">IF(D242="","","L-"&amp;TEXT(ROW()-6,"000"))</f>
        <v/>
      </c>
      <c r="C242" s="14"/>
      <c r="D242" s="15"/>
      <c r="E242" s="15"/>
      <c r="F242" s="16"/>
      <c r="G242" s="17" t="str">
        <f aca="false">IF(F242="","",IF(F242&gt;600,"Sí","No"))</f>
        <v/>
      </c>
      <c r="H242" s="15"/>
      <c r="I242" s="15"/>
      <c r="J242" s="16"/>
      <c r="K242" s="14"/>
      <c r="L242" s="15"/>
      <c r="M242" s="15"/>
      <c r="N242" s="15"/>
    </row>
    <row r="243" customFormat="false" ht="15" hidden="false" customHeight="false" outlineLevel="0" collapsed="false">
      <c r="A243" s="1"/>
      <c r="B243" s="8" t="str">
        <f aca="false">IF(D243="","","L-"&amp;TEXT(ROW()-6,"000"))</f>
        <v/>
      </c>
      <c r="C243" s="9"/>
      <c r="D243" s="10"/>
      <c r="E243" s="10"/>
      <c r="F243" s="11"/>
      <c r="G243" s="12" t="str">
        <f aca="false">IF(F243="","",IF(F243&gt;600,"Sí","No"))</f>
        <v/>
      </c>
      <c r="H243" s="10"/>
      <c r="I243" s="10"/>
      <c r="J243" s="11"/>
      <c r="K243" s="9"/>
      <c r="L243" s="10"/>
      <c r="M243" s="10"/>
      <c r="N243" s="10"/>
    </row>
    <row r="244" customFormat="false" ht="15" hidden="false" customHeight="false" outlineLevel="0" collapsed="false">
      <c r="A244" s="1"/>
      <c r="B244" s="13" t="str">
        <f aca="false">IF(D244="","","L-"&amp;TEXT(ROW()-6,"000"))</f>
        <v/>
      </c>
      <c r="C244" s="14"/>
      <c r="D244" s="15"/>
      <c r="E244" s="15"/>
      <c r="F244" s="16"/>
      <c r="G244" s="17" t="str">
        <f aca="false">IF(F244="","",IF(F244&gt;600,"Sí","No"))</f>
        <v/>
      </c>
      <c r="H244" s="15"/>
      <c r="I244" s="15"/>
      <c r="J244" s="16"/>
      <c r="K244" s="14"/>
      <c r="L244" s="15"/>
      <c r="M244" s="15"/>
      <c r="N244" s="15"/>
    </row>
    <row r="245" customFormat="false" ht="15" hidden="false" customHeight="false" outlineLevel="0" collapsed="false">
      <c r="A245" s="1"/>
      <c r="B245" s="8" t="str">
        <f aca="false">IF(D245="","","L-"&amp;TEXT(ROW()-6,"000"))</f>
        <v/>
      </c>
      <c r="C245" s="9"/>
      <c r="D245" s="10"/>
      <c r="E245" s="10"/>
      <c r="F245" s="11"/>
      <c r="G245" s="12" t="str">
        <f aca="false">IF(F245="","",IF(F245&gt;600,"Sí","No"))</f>
        <v/>
      </c>
      <c r="H245" s="10"/>
      <c r="I245" s="10"/>
      <c r="J245" s="11"/>
      <c r="K245" s="9"/>
      <c r="L245" s="10"/>
      <c r="M245" s="10"/>
      <c r="N245" s="10"/>
    </row>
    <row r="246" customFormat="false" ht="15" hidden="false" customHeight="false" outlineLevel="0" collapsed="false">
      <c r="A246" s="1"/>
      <c r="B246" s="13" t="str">
        <f aca="false">IF(D246="","","L-"&amp;TEXT(ROW()-6,"000"))</f>
        <v/>
      </c>
      <c r="C246" s="14"/>
      <c r="D246" s="15"/>
      <c r="E246" s="15"/>
      <c r="F246" s="16"/>
      <c r="G246" s="17" t="str">
        <f aca="false">IF(F246="","",IF(F246&gt;600,"Sí","No"))</f>
        <v/>
      </c>
      <c r="H246" s="15"/>
      <c r="I246" s="15"/>
      <c r="J246" s="16"/>
      <c r="K246" s="14"/>
      <c r="L246" s="15"/>
      <c r="M246" s="15"/>
      <c r="N246" s="15"/>
    </row>
    <row r="247" customFormat="false" ht="15" hidden="false" customHeight="false" outlineLevel="0" collapsed="false">
      <c r="A247" s="1"/>
      <c r="B247" s="8" t="str">
        <f aca="false">IF(D247="","","L-"&amp;TEXT(ROW()-6,"000"))</f>
        <v/>
      </c>
      <c r="C247" s="9"/>
      <c r="D247" s="10"/>
      <c r="E247" s="10"/>
      <c r="F247" s="11"/>
      <c r="G247" s="12" t="str">
        <f aca="false">IF(F247="","",IF(F247&gt;600,"Sí","No"))</f>
        <v/>
      </c>
      <c r="H247" s="10"/>
      <c r="I247" s="10"/>
      <c r="J247" s="11"/>
      <c r="K247" s="9"/>
      <c r="L247" s="10"/>
      <c r="M247" s="10"/>
      <c r="N247" s="10"/>
    </row>
    <row r="248" customFormat="false" ht="15" hidden="false" customHeight="false" outlineLevel="0" collapsed="false">
      <c r="A248" s="1"/>
      <c r="B248" s="13" t="str">
        <f aca="false">IF(D248="","","L-"&amp;TEXT(ROW()-6,"000"))</f>
        <v/>
      </c>
      <c r="C248" s="14"/>
      <c r="D248" s="15"/>
      <c r="E248" s="15"/>
      <c r="F248" s="16"/>
      <c r="G248" s="17" t="str">
        <f aca="false">IF(F248="","",IF(F248&gt;600,"Sí","No"))</f>
        <v/>
      </c>
      <c r="H248" s="15"/>
      <c r="I248" s="15"/>
      <c r="J248" s="16"/>
      <c r="K248" s="14"/>
      <c r="L248" s="15"/>
      <c r="M248" s="15"/>
      <c r="N248" s="15"/>
    </row>
    <row r="249" customFormat="false" ht="15" hidden="false" customHeight="false" outlineLevel="0" collapsed="false">
      <c r="A249" s="1"/>
      <c r="B249" s="8" t="str">
        <f aca="false">IF(D249="","","L-"&amp;TEXT(ROW()-6,"000"))</f>
        <v/>
      </c>
      <c r="C249" s="9"/>
      <c r="D249" s="10"/>
      <c r="E249" s="10"/>
      <c r="F249" s="11"/>
      <c r="G249" s="12" t="str">
        <f aca="false">IF(F249="","",IF(F249&gt;600,"Sí","No"))</f>
        <v/>
      </c>
      <c r="H249" s="10"/>
      <c r="I249" s="10"/>
      <c r="J249" s="11"/>
      <c r="K249" s="9"/>
      <c r="L249" s="10"/>
      <c r="M249" s="10"/>
      <c r="N249" s="10"/>
    </row>
    <row r="250" customFormat="false" ht="15" hidden="false" customHeight="false" outlineLevel="0" collapsed="false">
      <c r="A250" s="1"/>
      <c r="B250" s="13" t="str">
        <f aca="false">IF(D250="","","L-"&amp;TEXT(ROW()-6,"000"))</f>
        <v/>
      </c>
      <c r="C250" s="14"/>
      <c r="D250" s="15"/>
      <c r="E250" s="15"/>
      <c r="F250" s="16"/>
      <c r="G250" s="17" t="str">
        <f aca="false">IF(F250="","",IF(F250&gt;600,"Sí","No"))</f>
        <v/>
      </c>
      <c r="H250" s="15"/>
      <c r="I250" s="15"/>
      <c r="J250" s="16"/>
      <c r="K250" s="14"/>
      <c r="L250" s="15"/>
      <c r="M250" s="15"/>
      <c r="N250" s="15"/>
    </row>
    <row r="251" customFormat="false" ht="15" hidden="false" customHeight="false" outlineLevel="0" collapsed="false">
      <c r="A251" s="1"/>
      <c r="B251" s="8" t="str">
        <f aca="false">IF(D251="","","L-"&amp;TEXT(ROW()-6,"000"))</f>
        <v/>
      </c>
      <c r="C251" s="9"/>
      <c r="D251" s="10"/>
      <c r="E251" s="10"/>
      <c r="F251" s="11"/>
      <c r="G251" s="12" t="str">
        <f aca="false">IF(F251="","",IF(F251&gt;600,"Sí","No"))</f>
        <v/>
      </c>
      <c r="H251" s="10"/>
      <c r="I251" s="10"/>
      <c r="J251" s="11"/>
      <c r="K251" s="9"/>
      <c r="L251" s="10"/>
      <c r="M251" s="10"/>
      <c r="N251" s="10"/>
    </row>
    <row r="252" customFormat="false" ht="15" hidden="false" customHeight="false" outlineLevel="0" collapsed="false">
      <c r="A252" s="1"/>
      <c r="B252" s="13" t="str">
        <f aca="false">IF(D252="","","L-"&amp;TEXT(ROW()-6,"000"))</f>
        <v/>
      </c>
      <c r="C252" s="14"/>
      <c r="D252" s="15"/>
      <c r="E252" s="15"/>
      <c r="F252" s="16"/>
      <c r="G252" s="17" t="str">
        <f aca="false">IF(F252="","",IF(F252&gt;600,"Sí","No"))</f>
        <v/>
      </c>
      <c r="H252" s="15"/>
      <c r="I252" s="15"/>
      <c r="J252" s="16"/>
      <c r="K252" s="14"/>
      <c r="L252" s="15"/>
      <c r="M252" s="15"/>
      <c r="N252" s="15"/>
    </row>
    <row r="253" customFormat="false" ht="15" hidden="false" customHeight="false" outlineLevel="0" collapsed="false">
      <c r="A253" s="1"/>
      <c r="B253" s="8" t="str">
        <f aca="false">IF(D253="","","L-"&amp;TEXT(ROW()-6,"000"))</f>
        <v/>
      </c>
      <c r="C253" s="9"/>
      <c r="D253" s="10"/>
      <c r="E253" s="10"/>
      <c r="F253" s="11"/>
      <c r="G253" s="12" t="str">
        <f aca="false">IF(F253="","",IF(F253&gt;600,"Sí","No"))</f>
        <v/>
      </c>
      <c r="H253" s="10"/>
      <c r="I253" s="10"/>
      <c r="J253" s="11"/>
      <c r="K253" s="9"/>
      <c r="L253" s="10"/>
      <c r="M253" s="10"/>
      <c r="N253" s="10"/>
    </row>
    <row r="254" customFormat="false" ht="15" hidden="false" customHeight="false" outlineLevel="0" collapsed="false">
      <c r="A254" s="1"/>
      <c r="B254" s="13" t="str">
        <f aca="false">IF(D254="","","L-"&amp;TEXT(ROW()-6,"000"))</f>
        <v/>
      </c>
      <c r="C254" s="14"/>
      <c r="D254" s="15"/>
      <c r="E254" s="15"/>
      <c r="F254" s="16"/>
      <c r="G254" s="17" t="str">
        <f aca="false">IF(F254="","",IF(F254&gt;600,"Sí","No"))</f>
        <v/>
      </c>
      <c r="H254" s="15"/>
      <c r="I254" s="15"/>
      <c r="J254" s="16"/>
      <c r="K254" s="14"/>
      <c r="L254" s="15"/>
      <c r="M254" s="15"/>
      <c r="N254" s="15"/>
    </row>
    <row r="255" customFormat="false" ht="15" hidden="false" customHeight="false" outlineLevel="0" collapsed="false">
      <c r="A255" s="1"/>
      <c r="B255" s="8" t="str">
        <f aca="false">IF(D255="","","L-"&amp;TEXT(ROW()-6,"000"))</f>
        <v/>
      </c>
      <c r="C255" s="9"/>
      <c r="D255" s="10"/>
      <c r="E255" s="10"/>
      <c r="F255" s="11"/>
      <c r="G255" s="12" t="str">
        <f aca="false">IF(F255="","",IF(F255&gt;600,"Sí","No"))</f>
        <v/>
      </c>
      <c r="H255" s="10"/>
      <c r="I255" s="10"/>
      <c r="J255" s="11"/>
      <c r="K255" s="9"/>
      <c r="L255" s="10"/>
      <c r="M255" s="10"/>
      <c r="N255" s="10"/>
    </row>
    <row r="256" customFormat="false" ht="15" hidden="false" customHeight="false" outlineLevel="0" collapsed="false">
      <c r="A256" s="1"/>
      <c r="B256" s="13" t="str">
        <f aca="false">IF(D256="","","L-"&amp;TEXT(ROW()-6,"000"))</f>
        <v/>
      </c>
      <c r="C256" s="14"/>
      <c r="D256" s="15"/>
      <c r="E256" s="15"/>
      <c r="F256" s="16"/>
      <c r="G256" s="17" t="str">
        <f aca="false">IF(F256="","",IF(F256&gt;600,"Sí","No"))</f>
        <v/>
      </c>
      <c r="H256" s="15"/>
      <c r="I256" s="15"/>
      <c r="J256" s="16"/>
      <c r="K256" s="14"/>
      <c r="L256" s="15"/>
      <c r="M256" s="15"/>
      <c r="N256" s="15"/>
    </row>
    <row r="257" customFormat="false" ht="15" hidden="false" customHeight="false" outlineLevel="0" collapsed="false">
      <c r="A257" s="1"/>
      <c r="B257" s="8" t="str">
        <f aca="false">IF(D257="","","L-"&amp;TEXT(ROW()-6,"000"))</f>
        <v/>
      </c>
      <c r="C257" s="9"/>
      <c r="D257" s="10"/>
      <c r="E257" s="10"/>
      <c r="F257" s="11"/>
      <c r="G257" s="12" t="str">
        <f aca="false">IF(F257="","",IF(F257&gt;600,"Sí","No"))</f>
        <v/>
      </c>
      <c r="H257" s="10"/>
      <c r="I257" s="10"/>
      <c r="J257" s="11"/>
      <c r="K257" s="9"/>
      <c r="L257" s="10"/>
      <c r="M257" s="10"/>
      <c r="N257" s="10"/>
    </row>
    <row r="258" customFormat="false" ht="15" hidden="false" customHeight="false" outlineLevel="0" collapsed="false">
      <c r="A258" s="1"/>
      <c r="B258" s="13" t="str">
        <f aca="false">IF(D258="","","L-"&amp;TEXT(ROW()-6,"000"))</f>
        <v/>
      </c>
      <c r="C258" s="14"/>
      <c r="D258" s="15"/>
      <c r="E258" s="15"/>
      <c r="F258" s="16"/>
      <c r="G258" s="17" t="str">
        <f aca="false">IF(F258="","",IF(F258&gt;600,"Sí","No"))</f>
        <v/>
      </c>
      <c r="H258" s="15"/>
      <c r="I258" s="15"/>
      <c r="J258" s="16"/>
      <c r="K258" s="14"/>
      <c r="L258" s="15"/>
      <c r="M258" s="15"/>
      <c r="N258" s="15"/>
    </row>
    <row r="259" customFormat="false" ht="15" hidden="false" customHeight="false" outlineLevel="0" collapsed="false">
      <c r="A259" s="1"/>
      <c r="B259" s="8" t="str">
        <f aca="false">IF(D259="","","L-"&amp;TEXT(ROW()-6,"000"))</f>
        <v/>
      </c>
      <c r="C259" s="9"/>
      <c r="D259" s="10"/>
      <c r="E259" s="10"/>
      <c r="F259" s="11"/>
      <c r="G259" s="12" t="str">
        <f aca="false">IF(F259="","",IF(F259&gt;600,"Sí","No"))</f>
        <v/>
      </c>
      <c r="H259" s="10"/>
      <c r="I259" s="10"/>
      <c r="J259" s="11"/>
      <c r="K259" s="9"/>
      <c r="L259" s="10"/>
      <c r="M259" s="10"/>
      <c r="N259" s="10"/>
    </row>
    <row r="260" customFormat="false" ht="15" hidden="false" customHeight="false" outlineLevel="0" collapsed="false">
      <c r="A260" s="1"/>
      <c r="B260" s="13" t="str">
        <f aca="false">IF(D260="","","L-"&amp;TEXT(ROW()-6,"000"))</f>
        <v/>
      </c>
      <c r="C260" s="14"/>
      <c r="D260" s="15"/>
      <c r="E260" s="15"/>
      <c r="F260" s="16"/>
      <c r="G260" s="17" t="str">
        <f aca="false">IF(F260="","",IF(F260&gt;600,"Sí","No"))</f>
        <v/>
      </c>
      <c r="H260" s="15"/>
      <c r="I260" s="15"/>
      <c r="J260" s="16"/>
      <c r="K260" s="14"/>
      <c r="L260" s="15"/>
      <c r="M260" s="15"/>
      <c r="N260" s="15"/>
    </row>
    <row r="261" customFormat="false" ht="15" hidden="false" customHeight="false" outlineLevel="0" collapsed="false">
      <c r="A261" s="1"/>
      <c r="B261" s="8" t="str">
        <f aca="false">IF(D261="","","L-"&amp;TEXT(ROW()-6,"000"))</f>
        <v/>
      </c>
      <c r="C261" s="9"/>
      <c r="D261" s="10"/>
      <c r="E261" s="10"/>
      <c r="F261" s="11"/>
      <c r="G261" s="12" t="str">
        <f aca="false">IF(F261="","",IF(F261&gt;600,"Sí","No"))</f>
        <v/>
      </c>
      <c r="H261" s="10"/>
      <c r="I261" s="10"/>
      <c r="J261" s="11"/>
      <c r="K261" s="9"/>
      <c r="L261" s="10"/>
      <c r="M261" s="10"/>
      <c r="N261" s="10"/>
    </row>
    <row r="262" customFormat="false" ht="15" hidden="false" customHeight="false" outlineLevel="0" collapsed="false">
      <c r="A262" s="1"/>
      <c r="B262" s="13" t="str">
        <f aca="false">IF(D262="","","L-"&amp;TEXT(ROW()-6,"000"))</f>
        <v/>
      </c>
      <c r="C262" s="14"/>
      <c r="D262" s="15"/>
      <c r="E262" s="15"/>
      <c r="F262" s="16"/>
      <c r="G262" s="17" t="str">
        <f aca="false">IF(F262="","",IF(F262&gt;600,"Sí","No"))</f>
        <v/>
      </c>
      <c r="H262" s="15"/>
      <c r="I262" s="15"/>
      <c r="J262" s="16"/>
      <c r="K262" s="14"/>
      <c r="L262" s="15"/>
      <c r="M262" s="15"/>
      <c r="N262" s="15"/>
    </row>
    <row r="263" customFormat="false" ht="15" hidden="false" customHeight="false" outlineLevel="0" collapsed="false">
      <c r="A263" s="1"/>
      <c r="B263" s="8" t="str">
        <f aca="false">IF(D263="","","L-"&amp;TEXT(ROW()-6,"000"))</f>
        <v/>
      </c>
      <c r="C263" s="9"/>
      <c r="D263" s="10"/>
      <c r="E263" s="10"/>
      <c r="F263" s="11"/>
      <c r="G263" s="12" t="str">
        <f aca="false">IF(F263="","",IF(F263&gt;600,"Sí","No"))</f>
        <v/>
      </c>
      <c r="H263" s="10"/>
      <c r="I263" s="10"/>
      <c r="J263" s="11"/>
      <c r="K263" s="9"/>
      <c r="L263" s="10"/>
      <c r="M263" s="10"/>
      <c r="N263" s="10"/>
    </row>
    <row r="264" customFormat="false" ht="15" hidden="false" customHeight="false" outlineLevel="0" collapsed="false">
      <c r="A264" s="1"/>
      <c r="B264" s="13" t="str">
        <f aca="false">IF(D264="","","L-"&amp;TEXT(ROW()-6,"000"))</f>
        <v/>
      </c>
      <c r="C264" s="14"/>
      <c r="D264" s="15"/>
      <c r="E264" s="15"/>
      <c r="F264" s="16"/>
      <c r="G264" s="17" t="str">
        <f aca="false">IF(F264="","",IF(F264&gt;600,"Sí","No"))</f>
        <v/>
      </c>
      <c r="H264" s="15"/>
      <c r="I264" s="15"/>
      <c r="J264" s="16"/>
      <c r="K264" s="14"/>
      <c r="L264" s="15"/>
      <c r="M264" s="15"/>
      <c r="N264" s="15"/>
    </row>
    <row r="265" customFormat="false" ht="15" hidden="false" customHeight="false" outlineLevel="0" collapsed="false">
      <c r="A265" s="1"/>
      <c r="B265" s="8" t="str">
        <f aca="false">IF(D265="","","L-"&amp;TEXT(ROW()-6,"000"))</f>
        <v/>
      </c>
      <c r="C265" s="9"/>
      <c r="D265" s="10"/>
      <c r="E265" s="10"/>
      <c r="F265" s="11"/>
      <c r="G265" s="12" t="str">
        <f aca="false">IF(F265="","",IF(F265&gt;600,"Sí","No"))</f>
        <v/>
      </c>
      <c r="H265" s="10"/>
      <c r="I265" s="10"/>
      <c r="J265" s="11"/>
      <c r="K265" s="9"/>
      <c r="L265" s="10"/>
      <c r="M265" s="10"/>
      <c r="N265" s="10"/>
    </row>
    <row r="266" customFormat="false" ht="15" hidden="false" customHeight="false" outlineLevel="0" collapsed="false">
      <c r="A266" s="1"/>
      <c r="B266" s="13" t="str">
        <f aca="false">IF(D266="","","L-"&amp;TEXT(ROW()-6,"000"))</f>
        <v/>
      </c>
      <c r="C266" s="14"/>
      <c r="D266" s="15"/>
      <c r="E266" s="15"/>
      <c r="F266" s="16"/>
      <c r="G266" s="17" t="str">
        <f aca="false">IF(F266="","",IF(F266&gt;600,"Sí","No"))</f>
        <v/>
      </c>
      <c r="H266" s="15"/>
      <c r="I266" s="15"/>
      <c r="J266" s="16"/>
      <c r="K266" s="14"/>
      <c r="L266" s="15"/>
      <c r="M266" s="15"/>
      <c r="N266" s="15"/>
    </row>
    <row r="267" customFormat="false" ht="15" hidden="false" customHeight="false" outlineLevel="0" collapsed="false">
      <c r="A267" s="1"/>
      <c r="B267" s="8" t="str">
        <f aca="false">IF(D267="","","L-"&amp;TEXT(ROW()-6,"000"))</f>
        <v/>
      </c>
      <c r="C267" s="9"/>
      <c r="D267" s="10"/>
      <c r="E267" s="10"/>
      <c r="F267" s="11"/>
      <c r="G267" s="12" t="str">
        <f aca="false">IF(F267="","",IF(F267&gt;600,"Sí","No"))</f>
        <v/>
      </c>
      <c r="H267" s="10"/>
      <c r="I267" s="10"/>
      <c r="J267" s="11"/>
      <c r="K267" s="9"/>
      <c r="L267" s="10"/>
      <c r="M267" s="10"/>
      <c r="N267" s="10"/>
    </row>
    <row r="268" customFormat="false" ht="15" hidden="false" customHeight="false" outlineLevel="0" collapsed="false">
      <c r="A268" s="1"/>
      <c r="B268" s="13" t="str">
        <f aca="false">IF(D268="","","L-"&amp;TEXT(ROW()-6,"000"))</f>
        <v/>
      </c>
      <c r="C268" s="14"/>
      <c r="D268" s="15"/>
      <c r="E268" s="15"/>
      <c r="F268" s="16"/>
      <c r="G268" s="17" t="str">
        <f aca="false">IF(F268="","",IF(F268&gt;600,"Sí","No"))</f>
        <v/>
      </c>
      <c r="H268" s="15"/>
      <c r="I268" s="15"/>
      <c r="J268" s="16"/>
      <c r="K268" s="14"/>
      <c r="L268" s="15"/>
      <c r="M268" s="15"/>
      <c r="N268" s="15"/>
    </row>
    <row r="269" customFormat="false" ht="15" hidden="false" customHeight="false" outlineLevel="0" collapsed="false">
      <c r="A269" s="1"/>
      <c r="B269" s="8" t="str">
        <f aca="false">IF(D269="","","L-"&amp;TEXT(ROW()-6,"000"))</f>
        <v/>
      </c>
      <c r="C269" s="9"/>
      <c r="D269" s="10"/>
      <c r="E269" s="10"/>
      <c r="F269" s="11"/>
      <c r="G269" s="12" t="str">
        <f aca="false">IF(F269="","",IF(F269&gt;600,"Sí","No"))</f>
        <v/>
      </c>
      <c r="H269" s="10"/>
      <c r="I269" s="10"/>
      <c r="J269" s="11"/>
      <c r="K269" s="9"/>
      <c r="L269" s="10"/>
      <c r="M269" s="10"/>
      <c r="N269" s="10"/>
    </row>
    <row r="270" customFormat="false" ht="15" hidden="false" customHeight="false" outlineLevel="0" collapsed="false">
      <c r="A270" s="1"/>
      <c r="B270" s="13" t="str">
        <f aca="false">IF(D270="","","L-"&amp;TEXT(ROW()-6,"000"))</f>
        <v/>
      </c>
      <c r="C270" s="14"/>
      <c r="D270" s="15"/>
      <c r="E270" s="15"/>
      <c r="F270" s="16"/>
      <c r="G270" s="17" t="str">
        <f aca="false">IF(F270="","",IF(F270&gt;600,"Sí","No"))</f>
        <v/>
      </c>
      <c r="H270" s="15"/>
      <c r="I270" s="15"/>
      <c r="J270" s="16"/>
      <c r="K270" s="14"/>
      <c r="L270" s="15"/>
      <c r="M270" s="15"/>
      <c r="N270" s="15"/>
    </row>
    <row r="271" customFormat="false" ht="15" hidden="false" customHeight="false" outlineLevel="0" collapsed="false">
      <c r="A271" s="1"/>
      <c r="B271" s="8" t="str">
        <f aca="false">IF(D271="","","L-"&amp;TEXT(ROW()-6,"000"))</f>
        <v/>
      </c>
      <c r="C271" s="9"/>
      <c r="D271" s="10"/>
      <c r="E271" s="10"/>
      <c r="F271" s="11"/>
      <c r="G271" s="12" t="str">
        <f aca="false">IF(F271="","",IF(F271&gt;600,"Sí","No"))</f>
        <v/>
      </c>
      <c r="H271" s="10"/>
      <c r="I271" s="10"/>
      <c r="J271" s="11"/>
      <c r="K271" s="9"/>
      <c r="L271" s="10"/>
      <c r="M271" s="10"/>
      <c r="N271" s="10"/>
    </row>
    <row r="272" customFormat="false" ht="15" hidden="false" customHeight="false" outlineLevel="0" collapsed="false">
      <c r="A272" s="1"/>
      <c r="B272" s="13" t="str">
        <f aca="false">IF(D272="","","L-"&amp;TEXT(ROW()-6,"000"))</f>
        <v/>
      </c>
      <c r="C272" s="14"/>
      <c r="D272" s="15"/>
      <c r="E272" s="15"/>
      <c r="F272" s="16"/>
      <c r="G272" s="17" t="str">
        <f aca="false">IF(F272="","",IF(F272&gt;600,"Sí","No"))</f>
        <v/>
      </c>
      <c r="H272" s="15"/>
      <c r="I272" s="15"/>
      <c r="J272" s="16"/>
      <c r="K272" s="14"/>
      <c r="L272" s="15"/>
      <c r="M272" s="15"/>
      <c r="N272" s="15"/>
    </row>
    <row r="273" customFormat="false" ht="15" hidden="false" customHeight="false" outlineLevel="0" collapsed="false">
      <c r="A273" s="1"/>
      <c r="B273" s="8" t="str">
        <f aca="false">IF(D273="","","L-"&amp;TEXT(ROW()-6,"000"))</f>
        <v/>
      </c>
      <c r="C273" s="9"/>
      <c r="D273" s="10"/>
      <c r="E273" s="10"/>
      <c r="F273" s="11"/>
      <c r="G273" s="12" t="str">
        <f aca="false">IF(F273="","",IF(F273&gt;600,"Sí","No"))</f>
        <v/>
      </c>
      <c r="H273" s="10"/>
      <c r="I273" s="10"/>
      <c r="J273" s="11"/>
      <c r="K273" s="9"/>
      <c r="L273" s="10"/>
      <c r="M273" s="10"/>
      <c r="N273" s="10"/>
    </row>
    <row r="274" customFormat="false" ht="15" hidden="false" customHeight="false" outlineLevel="0" collapsed="false">
      <c r="A274" s="1"/>
      <c r="B274" s="13" t="str">
        <f aca="false">IF(D274="","","L-"&amp;TEXT(ROW()-6,"000"))</f>
        <v/>
      </c>
      <c r="C274" s="14"/>
      <c r="D274" s="15"/>
      <c r="E274" s="15"/>
      <c r="F274" s="16"/>
      <c r="G274" s="17" t="str">
        <f aca="false">IF(F274="","",IF(F274&gt;600,"Sí","No"))</f>
        <v/>
      </c>
      <c r="H274" s="15"/>
      <c r="I274" s="15"/>
      <c r="J274" s="16"/>
      <c r="K274" s="14"/>
      <c r="L274" s="15"/>
      <c r="M274" s="15"/>
      <c r="N274" s="15"/>
    </row>
    <row r="275" customFormat="false" ht="15" hidden="false" customHeight="false" outlineLevel="0" collapsed="false">
      <c r="A275" s="1"/>
      <c r="B275" s="8" t="str">
        <f aca="false">IF(D275="","","L-"&amp;TEXT(ROW()-6,"000"))</f>
        <v/>
      </c>
      <c r="C275" s="9"/>
      <c r="D275" s="10"/>
      <c r="E275" s="10"/>
      <c r="F275" s="11"/>
      <c r="G275" s="12" t="str">
        <f aca="false">IF(F275="","",IF(F275&gt;600,"Sí","No"))</f>
        <v/>
      </c>
      <c r="H275" s="10"/>
      <c r="I275" s="10"/>
      <c r="J275" s="11"/>
      <c r="K275" s="9"/>
      <c r="L275" s="10"/>
      <c r="M275" s="10"/>
      <c r="N275" s="10"/>
    </row>
    <row r="276" customFormat="false" ht="15" hidden="false" customHeight="false" outlineLevel="0" collapsed="false">
      <c r="A276" s="1"/>
      <c r="B276" s="13" t="str">
        <f aca="false">IF(D276="","","L-"&amp;TEXT(ROW()-6,"000"))</f>
        <v/>
      </c>
      <c r="C276" s="14"/>
      <c r="D276" s="15"/>
      <c r="E276" s="15"/>
      <c r="F276" s="16"/>
      <c r="G276" s="17" t="str">
        <f aca="false">IF(F276="","",IF(F276&gt;600,"Sí","No"))</f>
        <v/>
      </c>
      <c r="H276" s="15"/>
      <c r="I276" s="15"/>
      <c r="J276" s="16"/>
      <c r="K276" s="14"/>
      <c r="L276" s="15"/>
      <c r="M276" s="15"/>
      <c r="N276" s="15"/>
    </row>
    <row r="277" customFormat="false" ht="15" hidden="false" customHeight="false" outlineLevel="0" collapsed="false">
      <c r="A277" s="1"/>
      <c r="B277" s="8" t="str">
        <f aca="false">IF(D277="","","L-"&amp;TEXT(ROW()-6,"000"))</f>
        <v/>
      </c>
      <c r="C277" s="9"/>
      <c r="D277" s="10"/>
      <c r="E277" s="10"/>
      <c r="F277" s="11"/>
      <c r="G277" s="12" t="str">
        <f aca="false">IF(F277="","",IF(F277&gt;600,"Sí","No"))</f>
        <v/>
      </c>
      <c r="H277" s="10"/>
      <c r="I277" s="10"/>
      <c r="J277" s="11"/>
      <c r="K277" s="9"/>
      <c r="L277" s="10"/>
      <c r="M277" s="10"/>
      <c r="N277" s="10"/>
    </row>
    <row r="278" customFormat="false" ht="15" hidden="false" customHeight="false" outlineLevel="0" collapsed="false">
      <c r="A278" s="1"/>
      <c r="B278" s="13" t="str">
        <f aca="false">IF(D278="","","L-"&amp;TEXT(ROW()-6,"000"))</f>
        <v/>
      </c>
      <c r="C278" s="14"/>
      <c r="D278" s="15"/>
      <c r="E278" s="15"/>
      <c r="F278" s="16"/>
      <c r="G278" s="17" t="str">
        <f aca="false">IF(F278="","",IF(F278&gt;600,"Sí","No"))</f>
        <v/>
      </c>
      <c r="H278" s="15"/>
      <c r="I278" s="15"/>
      <c r="J278" s="16"/>
      <c r="K278" s="14"/>
      <c r="L278" s="15"/>
      <c r="M278" s="15"/>
      <c r="N278" s="15"/>
    </row>
    <row r="279" customFormat="false" ht="15" hidden="false" customHeight="false" outlineLevel="0" collapsed="false">
      <c r="A279" s="1"/>
      <c r="B279" s="8" t="str">
        <f aca="false">IF(D279="","","L-"&amp;TEXT(ROW()-6,"000"))</f>
        <v/>
      </c>
      <c r="C279" s="9"/>
      <c r="D279" s="10"/>
      <c r="E279" s="10"/>
      <c r="F279" s="11"/>
      <c r="G279" s="12" t="str">
        <f aca="false">IF(F279="","",IF(F279&gt;600,"Sí","No"))</f>
        <v/>
      </c>
      <c r="H279" s="10"/>
      <c r="I279" s="10"/>
      <c r="J279" s="11"/>
      <c r="K279" s="9"/>
      <c r="L279" s="10"/>
      <c r="M279" s="10"/>
      <c r="N279" s="10"/>
    </row>
    <row r="280" customFormat="false" ht="15" hidden="false" customHeight="false" outlineLevel="0" collapsed="false">
      <c r="A280" s="1"/>
      <c r="B280" s="13" t="str">
        <f aca="false">IF(D280="","","L-"&amp;TEXT(ROW()-6,"000"))</f>
        <v/>
      </c>
      <c r="C280" s="14"/>
      <c r="D280" s="15"/>
      <c r="E280" s="15"/>
      <c r="F280" s="16"/>
      <c r="G280" s="17" t="str">
        <f aca="false">IF(F280="","",IF(F280&gt;600,"Sí","No"))</f>
        <v/>
      </c>
      <c r="H280" s="15"/>
      <c r="I280" s="15"/>
      <c r="J280" s="16"/>
      <c r="K280" s="14"/>
      <c r="L280" s="15"/>
      <c r="M280" s="15"/>
      <c r="N280" s="15"/>
    </row>
    <row r="281" customFormat="false" ht="15" hidden="false" customHeight="false" outlineLevel="0" collapsed="false">
      <c r="A281" s="1"/>
      <c r="B281" s="8" t="str">
        <f aca="false">IF(D281="","","L-"&amp;TEXT(ROW()-6,"000"))</f>
        <v/>
      </c>
      <c r="C281" s="9"/>
      <c r="D281" s="10"/>
      <c r="E281" s="10"/>
      <c r="F281" s="11"/>
      <c r="G281" s="12" t="str">
        <f aca="false">IF(F281="","",IF(F281&gt;600,"Sí","No"))</f>
        <v/>
      </c>
      <c r="H281" s="10"/>
      <c r="I281" s="10"/>
      <c r="J281" s="11"/>
      <c r="K281" s="9"/>
      <c r="L281" s="10"/>
      <c r="M281" s="10"/>
      <c r="N281" s="10"/>
    </row>
    <row r="282" customFormat="false" ht="15" hidden="false" customHeight="false" outlineLevel="0" collapsed="false">
      <c r="A282" s="1"/>
      <c r="B282" s="13" t="str">
        <f aca="false">IF(D282="","","L-"&amp;TEXT(ROW()-6,"000"))</f>
        <v/>
      </c>
      <c r="C282" s="14"/>
      <c r="D282" s="15"/>
      <c r="E282" s="15"/>
      <c r="F282" s="16"/>
      <c r="G282" s="17" t="str">
        <f aca="false">IF(F282="","",IF(F282&gt;600,"Sí","No"))</f>
        <v/>
      </c>
      <c r="H282" s="15"/>
      <c r="I282" s="15"/>
      <c r="J282" s="16"/>
      <c r="K282" s="14"/>
      <c r="L282" s="15"/>
      <c r="M282" s="15"/>
      <c r="N282" s="15"/>
    </row>
    <row r="283" customFormat="false" ht="15" hidden="false" customHeight="false" outlineLevel="0" collapsed="false">
      <c r="A283" s="1"/>
      <c r="B283" s="8" t="str">
        <f aca="false">IF(D283="","","L-"&amp;TEXT(ROW()-6,"000"))</f>
        <v/>
      </c>
      <c r="C283" s="9"/>
      <c r="D283" s="10"/>
      <c r="E283" s="10"/>
      <c r="F283" s="11"/>
      <c r="G283" s="12" t="str">
        <f aca="false">IF(F283="","",IF(F283&gt;600,"Sí","No"))</f>
        <v/>
      </c>
      <c r="H283" s="10"/>
      <c r="I283" s="10"/>
      <c r="J283" s="11"/>
      <c r="K283" s="9"/>
      <c r="L283" s="10"/>
      <c r="M283" s="10"/>
      <c r="N283" s="10"/>
    </row>
    <row r="284" customFormat="false" ht="15" hidden="false" customHeight="false" outlineLevel="0" collapsed="false">
      <c r="A284" s="1"/>
      <c r="B284" s="13" t="str">
        <f aca="false">IF(D284="","","L-"&amp;TEXT(ROW()-6,"000"))</f>
        <v/>
      </c>
      <c r="C284" s="14"/>
      <c r="D284" s="15"/>
      <c r="E284" s="15"/>
      <c r="F284" s="16"/>
      <c r="G284" s="17" t="str">
        <f aca="false">IF(F284="","",IF(F284&gt;600,"Sí","No"))</f>
        <v/>
      </c>
      <c r="H284" s="15"/>
      <c r="I284" s="15"/>
      <c r="J284" s="16"/>
      <c r="K284" s="14"/>
      <c r="L284" s="15"/>
      <c r="M284" s="15"/>
      <c r="N284" s="15"/>
    </row>
    <row r="285" customFormat="false" ht="15" hidden="false" customHeight="false" outlineLevel="0" collapsed="false">
      <c r="A285" s="1"/>
      <c r="B285" s="8" t="str">
        <f aca="false">IF(D285="","","L-"&amp;TEXT(ROW()-6,"000"))</f>
        <v/>
      </c>
      <c r="C285" s="9"/>
      <c r="D285" s="10"/>
      <c r="E285" s="10"/>
      <c r="F285" s="11"/>
      <c r="G285" s="12" t="str">
        <f aca="false">IF(F285="","",IF(F285&gt;600,"Sí","No"))</f>
        <v/>
      </c>
      <c r="H285" s="10"/>
      <c r="I285" s="10"/>
      <c r="J285" s="11"/>
      <c r="K285" s="9"/>
      <c r="L285" s="10"/>
      <c r="M285" s="10"/>
      <c r="N285" s="10"/>
    </row>
    <row r="286" customFormat="false" ht="15" hidden="false" customHeight="false" outlineLevel="0" collapsed="false">
      <c r="A286" s="1"/>
      <c r="B286" s="13" t="str">
        <f aca="false">IF(D286="","","L-"&amp;TEXT(ROW()-6,"000"))</f>
        <v/>
      </c>
      <c r="C286" s="14"/>
      <c r="D286" s="15"/>
      <c r="E286" s="15"/>
      <c r="F286" s="16"/>
      <c r="G286" s="17" t="str">
        <f aca="false">IF(F286="","",IF(F286&gt;600,"Sí","No"))</f>
        <v/>
      </c>
      <c r="H286" s="15"/>
      <c r="I286" s="15"/>
      <c r="J286" s="16"/>
      <c r="K286" s="14"/>
      <c r="L286" s="15"/>
      <c r="M286" s="15"/>
      <c r="N286" s="15"/>
    </row>
    <row r="287" customFormat="false" ht="15" hidden="false" customHeight="false" outlineLevel="0" collapsed="false">
      <c r="A287" s="1"/>
      <c r="B287" s="8" t="str">
        <f aca="false">IF(D287="","","L-"&amp;TEXT(ROW()-6,"000"))</f>
        <v/>
      </c>
      <c r="C287" s="9"/>
      <c r="D287" s="10"/>
      <c r="E287" s="10"/>
      <c r="F287" s="11"/>
      <c r="G287" s="12" t="str">
        <f aca="false">IF(F287="","",IF(F287&gt;600,"Sí","No"))</f>
        <v/>
      </c>
      <c r="H287" s="10"/>
      <c r="I287" s="10"/>
      <c r="J287" s="11"/>
      <c r="K287" s="9"/>
      <c r="L287" s="10"/>
      <c r="M287" s="10"/>
      <c r="N287" s="10"/>
    </row>
    <row r="288" customFormat="false" ht="15" hidden="false" customHeight="false" outlineLevel="0" collapsed="false">
      <c r="A288" s="1"/>
      <c r="B288" s="13" t="str">
        <f aca="false">IF(D288="","","L-"&amp;TEXT(ROW()-6,"000"))</f>
        <v/>
      </c>
      <c r="C288" s="14"/>
      <c r="D288" s="15"/>
      <c r="E288" s="15"/>
      <c r="F288" s="16"/>
      <c r="G288" s="17" t="str">
        <f aca="false">IF(F288="","",IF(F288&gt;600,"Sí","No"))</f>
        <v/>
      </c>
      <c r="H288" s="15"/>
      <c r="I288" s="15"/>
      <c r="J288" s="16"/>
      <c r="K288" s="14"/>
      <c r="L288" s="15"/>
      <c r="M288" s="15"/>
      <c r="N288" s="15"/>
    </row>
    <row r="289" customFormat="false" ht="15" hidden="false" customHeight="false" outlineLevel="0" collapsed="false">
      <c r="A289" s="1"/>
      <c r="B289" s="8" t="str">
        <f aca="false">IF(D289="","","L-"&amp;TEXT(ROW()-6,"000"))</f>
        <v/>
      </c>
      <c r="C289" s="9"/>
      <c r="D289" s="10"/>
      <c r="E289" s="10"/>
      <c r="F289" s="11"/>
      <c r="G289" s="12" t="str">
        <f aca="false">IF(F289="","",IF(F289&gt;600,"Sí","No"))</f>
        <v/>
      </c>
      <c r="H289" s="10"/>
      <c r="I289" s="10"/>
      <c r="J289" s="11"/>
      <c r="K289" s="9"/>
      <c r="L289" s="10"/>
      <c r="M289" s="10"/>
      <c r="N289" s="10"/>
    </row>
    <row r="290" customFormat="false" ht="15" hidden="false" customHeight="false" outlineLevel="0" collapsed="false">
      <c r="A290" s="1"/>
      <c r="B290" s="13" t="str">
        <f aca="false">IF(D290="","","L-"&amp;TEXT(ROW()-6,"000"))</f>
        <v/>
      </c>
      <c r="C290" s="14"/>
      <c r="D290" s="15"/>
      <c r="E290" s="15"/>
      <c r="F290" s="16"/>
      <c r="G290" s="17" t="str">
        <f aca="false">IF(F290="","",IF(F290&gt;600,"Sí","No"))</f>
        <v/>
      </c>
      <c r="H290" s="15"/>
      <c r="I290" s="15"/>
      <c r="J290" s="16"/>
      <c r="K290" s="14"/>
      <c r="L290" s="15"/>
      <c r="M290" s="15"/>
      <c r="N290" s="15"/>
    </row>
    <row r="291" customFormat="false" ht="15" hidden="false" customHeight="false" outlineLevel="0" collapsed="false">
      <c r="A291" s="1"/>
      <c r="B291" s="8" t="str">
        <f aca="false">IF(D291="","","L-"&amp;TEXT(ROW()-6,"000"))</f>
        <v/>
      </c>
      <c r="C291" s="9"/>
      <c r="D291" s="10"/>
      <c r="E291" s="10"/>
      <c r="F291" s="11"/>
      <c r="G291" s="12" t="str">
        <f aca="false">IF(F291="","",IF(F291&gt;600,"Sí","No"))</f>
        <v/>
      </c>
      <c r="H291" s="10"/>
      <c r="I291" s="10"/>
      <c r="J291" s="11"/>
      <c r="K291" s="9"/>
      <c r="L291" s="10"/>
      <c r="M291" s="10"/>
      <c r="N291" s="10"/>
    </row>
    <row r="292" customFormat="false" ht="15" hidden="false" customHeight="false" outlineLevel="0" collapsed="false">
      <c r="A292" s="1"/>
      <c r="B292" s="13" t="str">
        <f aca="false">IF(D292="","","L-"&amp;TEXT(ROW()-6,"000"))</f>
        <v/>
      </c>
      <c r="C292" s="14"/>
      <c r="D292" s="15"/>
      <c r="E292" s="15"/>
      <c r="F292" s="16"/>
      <c r="G292" s="17" t="str">
        <f aca="false">IF(F292="","",IF(F292&gt;600,"Sí","No"))</f>
        <v/>
      </c>
      <c r="H292" s="15"/>
      <c r="I292" s="15"/>
      <c r="J292" s="16"/>
      <c r="K292" s="14"/>
      <c r="L292" s="15"/>
      <c r="M292" s="15"/>
      <c r="N292" s="15"/>
    </row>
    <row r="293" customFormat="false" ht="15" hidden="false" customHeight="false" outlineLevel="0" collapsed="false">
      <c r="A293" s="1"/>
      <c r="B293" s="8" t="str">
        <f aca="false">IF(D293="","","L-"&amp;TEXT(ROW()-6,"000"))</f>
        <v/>
      </c>
      <c r="C293" s="9"/>
      <c r="D293" s="10"/>
      <c r="E293" s="10"/>
      <c r="F293" s="11"/>
      <c r="G293" s="12" t="str">
        <f aca="false">IF(F293="","",IF(F293&gt;600,"Sí","No"))</f>
        <v/>
      </c>
      <c r="H293" s="10"/>
      <c r="I293" s="10"/>
      <c r="J293" s="11"/>
      <c r="K293" s="9"/>
      <c r="L293" s="10"/>
      <c r="M293" s="10"/>
      <c r="N293" s="10"/>
    </row>
    <row r="294" customFormat="false" ht="15" hidden="false" customHeight="false" outlineLevel="0" collapsed="false">
      <c r="A294" s="1"/>
      <c r="B294" s="13" t="str">
        <f aca="false">IF(D294="","","L-"&amp;TEXT(ROW()-6,"000"))</f>
        <v/>
      </c>
      <c r="C294" s="14"/>
      <c r="D294" s="15"/>
      <c r="E294" s="15"/>
      <c r="F294" s="16"/>
      <c r="G294" s="17" t="str">
        <f aca="false">IF(F294="","",IF(F294&gt;600,"Sí","No"))</f>
        <v/>
      </c>
      <c r="H294" s="15"/>
      <c r="I294" s="15"/>
      <c r="J294" s="16"/>
      <c r="K294" s="14"/>
      <c r="L294" s="15"/>
      <c r="M294" s="15"/>
      <c r="N294" s="15"/>
    </row>
    <row r="295" customFormat="false" ht="15" hidden="false" customHeight="false" outlineLevel="0" collapsed="false">
      <c r="A295" s="1"/>
      <c r="B295" s="8" t="str">
        <f aca="false">IF(D295="","","L-"&amp;TEXT(ROW()-6,"000"))</f>
        <v/>
      </c>
      <c r="C295" s="9"/>
      <c r="D295" s="10"/>
      <c r="E295" s="10"/>
      <c r="F295" s="11"/>
      <c r="G295" s="12" t="str">
        <f aca="false">IF(F295="","",IF(F295&gt;600,"Sí","No"))</f>
        <v/>
      </c>
      <c r="H295" s="10"/>
      <c r="I295" s="10"/>
      <c r="J295" s="11"/>
      <c r="K295" s="9"/>
      <c r="L295" s="10"/>
      <c r="M295" s="10"/>
      <c r="N295" s="10"/>
    </row>
    <row r="296" customFormat="false" ht="15" hidden="false" customHeight="false" outlineLevel="0" collapsed="false">
      <c r="A296" s="1"/>
      <c r="B296" s="13" t="str">
        <f aca="false">IF(D296="","","L-"&amp;TEXT(ROW()-6,"000"))</f>
        <v/>
      </c>
      <c r="C296" s="14"/>
      <c r="D296" s="15"/>
      <c r="E296" s="15"/>
      <c r="F296" s="16"/>
      <c r="G296" s="17" t="str">
        <f aca="false">IF(F296="","",IF(F296&gt;600,"Sí","No"))</f>
        <v/>
      </c>
      <c r="H296" s="15"/>
      <c r="I296" s="15"/>
      <c r="J296" s="16"/>
      <c r="K296" s="14"/>
      <c r="L296" s="15"/>
      <c r="M296" s="15"/>
      <c r="N296" s="15"/>
    </row>
    <row r="297" customFormat="false" ht="15" hidden="false" customHeight="false" outlineLevel="0" collapsed="false">
      <c r="A297" s="1"/>
      <c r="B297" s="8" t="str">
        <f aca="false">IF(D297="","","L-"&amp;TEXT(ROW()-6,"000"))</f>
        <v/>
      </c>
      <c r="C297" s="9"/>
      <c r="D297" s="10"/>
      <c r="E297" s="10"/>
      <c r="F297" s="11"/>
      <c r="G297" s="12" t="str">
        <f aca="false">IF(F297="","",IF(F297&gt;600,"Sí","No"))</f>
        <v/>
      </c>
      <c r="H297" s="10"/>
      <c r="I297" s="10"/>
      <c r="J297" s="11"/>
      <c r="K297" s="9"/>
      <c r="L297" s="10"/>
      <c r="M297" s="10"/>
      <c r="N297" s="10"/>
    </row>
    <row r="298" customFormat="false" ht="15" hidden="false" customHeight="false" outlineLevel="0" collapsed="false">
      <c r="A298" s="1"/>
      <c r="B298" s="13" t="str">
        <f aca="false">IF(D298="","","L-"&amp;TEXT(ROW()-6,"000"))</f>
        <v/>
      </c>
      <c r="C298" s="14"/>
      <c r="D298" s="15"/>
      <c r="E298" s="15"/>
      <c r="F298" s="16"/>
      <c r="G298" s="17" t="str">
        <f aca="false">IF(F298="","",IF(F298&gt;600,"Sí","No"))</f>
        <v/>
      </c>
      <c r="H298" s="15"/>
      <c r="I298" s="15"/>
      <c r="J298" s="16"/>
      <c r="K298" s="14"/>
      <c r="L298" s="15"/>
      <c r="M298" s="15"/>
      <c r="N298" s="15"/>
    </row>
    <row r="299" customFormat="false" ht="15" hidden="false" customHeight="false" outlineLevel="0" collapsed="false">
      <c r="A299" s="1"/>
      <c r="B299" s="8" t="str">
        <f aca="false">IF(D299="","","L-"&amp;TEXT(ROW()-6,"000"))</f>
        <v/>
      </c>
      <c r="C299" s="9"/>
      <c r="D299" s="10"/>
      <c r="E299" s="10"/>
      <c r="F299" s="11"/>
      <c r="G299" s="12" t="str">
        <f aca="false">IF(F299="","",IF(F299&gt;600,"Sí","No"))</f>
        <v/>
      </c>
      <c r="H299" s="10"/>
      <c r="I299" s="10"/>
      <c r="J299" s="11"/>
      <c r="K299" s="9"/>
      <c r="L299" s="10"/>
      <c r="M299" s="10"/>
      <c r="N299" s="10"/>
    </row>
    <row r="300" customFormat="false" ht="15" hidden="false" customHeight="false" outlineLevel="0" collapsed="false">
      <c r="A300" s="1"/>
      <c r="B300" s="13" t="str">
        <f aca="false">IF(D300="","","L-"&amp;TEXT(ROW()-6,"000"))</f>
        <v/>
      </c>
      <c r="C300" s="14"/>
      <c r="D300" s="15"/>
      <c r="E300" s="15"/>
      <c r="F300" s="16"/>
      <c r="G300" s="17" t="str">
        <f aca="false">IF(F300="","",IF(F300&gt;600,"Sí","No"))</f>
        <v/>
      </c>
      <c r="H300" s="15"/>
      <c r="I300" s="15"/>
      <c r="J300" s="16"/>
      <c r="K300" s="14"/>
      <c r="L300" s="15"/>
      <c r="M300" s="15"/>
      <c r="N300" s="15"/>
    </row>
    <row r="301" customFormat="false" ht="15" hidden="false" customHeight="false" outlineLevel="0" collapsed="false">
      <c r="A301" s="1"/>
      <c r="B301" s="8" t="str">
        <f aca="false">IF(D301="","","L-"&amp;TEXT(ROW()-6,"000"))</f>
        <v/>
      </c>
      <c r="C301" s="9"/>
      <c r="D301" s="10"/>
      <c r="E301" s="10"/>
      <c r="F301" s="11"/>
      <c r="G301" s="12" t="str">
        <f aca="false">IF(F301="","",IF(F301&gt;600,"Sí","No"))</f>
        <v/>
      </c>
      <c r="H301" s="10"/>
      <c r="I301" s="10"/>
      <c r="J301" s="11"/>
      <c r="K301" s="9"/>
      <c r="L301" s="10"/>
      <c r="M301" s="10"/>
      <c r="N301" s="10"/>
    </row>
    <row r="302" customFormat="false" ht="15" hidden="false" customHeight="false" outlineLevel="0" collapsed="false">
      <c r="A302" s="1"/>
      <c r="B302" s="13" t="str">
        <f aca="false">IF(D302="","","L-"&amp;TEXT(ROW()-6,"000"))</f>
        <v/>
      </c>
      <c r="C302" s="14"/>
      <c r="D302" s="15"/>
      <c r="E302" s="15"/>
      <c r="F302" s="16"/>
      <c r="G302" s="17" t="str">
        <f aca="false">IF(F302="","",IF(F302&gt;600,"Sí","No"))</f>
        <v/>
      </c>
      <c r="H302" s="15"/>
      <c r="I302" s="15"/>
      <c r="J302" s="16"/>
      <c r="K302" s="14"/>
      <c r="L302" s="15"/>
      <c r="M302" s="15"/>
      <c r="N302" s="15"/>
    </row>
    <row r="303" customFormat="false" ht="15" hidden="false" customHeight="false" outlineLevel="0" collapsed="false">
      <c r="A303" s="1"/>
      <c r="B303" s="8" t="str">
        <f aca="false">IF(D303="","","L-"&amp;TEXT(ROW()-6,"000"))</f>
        <v/>
      </c>
      <c r="C303" s="9"/>
      <c r="D303" s="10"/>
      <c r="E303" s="10"/>
      <c r="F303" s="11"/>
      <c r="G303" s="12" t="str">
        <f aca="false">IF(F303="","",IF(F303&gt;600,"Sí","No"))</f>
        <v/>
      </c>
      <c r="H303" s="10"/>
      <c r="I303" s="10"/>
      <c r="J303" s="11"/>
      <c r="K303" s="9"/>
      <c r="L303" s="10"/>
      <c r="M303" s="10"/>
      <c r="N303" s="10"/>
    </row>
    <row r="304" customFormat="false" ht="15" hidden="false" customHeight="false" outlineLevel="0" collapsed="false">
      <c r="A304" s="1"/>
      <c r="B304" s="13" t="str">
        <f aca="false">IF(D304="","","L-"&amp;TEXT(ROW()-6,"000"))</f>
        <v/>
      </c>
      <c r="C304" s="14"/>
      <c r="D304" s="15"/>
      <c r="E304" s="15"/>
      <c r="F304" s="16"/>
      <c r="G304" s="17" t="str">
        <f aca="false">IF(F304="","",IF(F304&gt;600,"Sí","No"))</f>
        <v/>
      </c>
      <c r="H304" s="15"/>
      <c r="I304" s="15"/>
      <c r="J304" s="16"/>
      <c r="K304" s="14"/>
      <c r="L304" s="15"/>
      <c r="M304" s="15"/>
      <c r="N304" s="15"/>
    </row>
    <row r="305" customFormat="false" ht="15" hidden="false" customHeight="false" outlineLevel="0" collapsed="false">
      <c r="A305" s="1"/>
      <c r="B305" s="8" t="str">
        <f aca="false">IF(D305="","","L-"&amp;TEXT(ROW()-6,"000"))</f>
        <v/>
      </c>
      <c r="C305" s="9"/>
      <c r="D305" s="10"/>
      <c r="E305" s="10"/>
      <c r="F305" s="11"/>
      <c r="G305" s="12" t="str">
        <f aca="false">IF(F305="","",IF(F305&gt;600,"Sí","No"))</f>
        <v/>
      </c>
      <c r="H305" s="10"/>
      <c r="I305" s="10"/>
      <c r="J305" s="11"/>
      <c r="K305" s="9"/>
      <c r="L305" s="10"/>
      <c r="M305" s="10"/>
      <c r="N305" s="10"/>
    </row>
    <row r="306" customFormat="false" ht="15" hidden="false" customHeight="false" outlineLevel="0" collapsed="false">
      <c r="A306" s="1"/>
      <c r="B306" s="13" t="str">
        <f aca="false">IF(D306="","","L-"&amp;TEXT(ROW()-6,"000"))</f>
        <v/>
      </c>
      <c r="C306" s="14"/>
      <c r="D306" s="15"/>
      <c r="E306" s="15"/>
      <c r="F306" s="16"/>
      <c r="G306" s="17" t="str">
        <f aca="false">IF(F306="","",IF(F306&gt;600,"Sí","No"))</f>
        <v/>
      </c>
      <c r="H306" s="15"/>
      <c r="I306" s="15"/>
      <c r="J306" s="16"/>
      <c r="K306" s="14"/>
      <c r="L306" s="15"/>
      <c r="M306" s="15"/>
      <c r="N306" s="15"/>
    </row>
    <row r="307" customFormat="false" ht="15" hidden="false" customHeight="false" outlineLevel="0" collapsed="false">
      <c r="A307" s="1"/>
      <c r="B307" s="1"/>
      <c r="C307" s="1"/>
      <c r="D307" s="1"/>
      <c r="E307" s="1"/>
      <c r="F307" s="1"/>
      <c r="G307" s="1"/>
      <c r="H307" s="1"/>
      <c r="I307" s="1"/>
      <c r="J307" s="1"/>
      <c r="K307" s="1"/>
      <c r="L307" s="1"/>
      <c r="M307" s="1"/>
      <c r="N307" s="1"/>
    </row>
    <row r="308" customFormat="false" ht="15" hidden="false" customHeight="false" outlineLevel="0" collapsed="false">
      <c r="A308" s="1"/>
      <c r="B308" s="1"/>
      <c r="C308" s="1"/>
      <c r="D308" s="1"/>
      <c r="E308" s="1"/>
      <c r="F308" s="1"/>
      <c r="G308" s="1"/>
      <c r="H308" s="1"/>
      <c r="I308" s="1"/>
      <c r="J308" s="1"/>
      <c r="K308" s="1"/>
      <c r="L308" s="1"/>
      <c r="M308" s="1"/>
      <c r="N308" s="1"/>
    </row>
    <row r="309" customFormat="false" ht="15" hidden="false" customHeight="false" outlineLevel="0" collapsed="false">
      <c r="A309" s="1"/>
      <c r="B309" s="1"/>
      <c r="C309" s="1"/>
      <c r="D309" s="1"/>
      <c r="E309" s="1"/>
      <c r="F309" s="1"/>
      <c r="G309" s="1"/>
      <c r="H309" s="1"/>
      <c r="I309" s="1"/>
      <c r="J309" s="1"/>
      <c r="K309" s="1"/>
      <c r="L309" s="1"/>
      <c r="M309" s="1"/>
      <c r="N309" s="1"/>
    </row>
    <row r="310" customFormat="false" ht="15" hidden="false" customHeight="false" outlineLevel="0" collapsed="false">
      <c r="A310" s="1"/>
      <c r="B310" s="1"/>
      <c r="C310" s="1"/>
      <c r="D310" s="1"/>
      <c r="E310" s="1"/>
      <c r="F310" s="1"/>
      <c r="G310" s="1"/>
      <c r="H310" s="1"/>
      <c r="I310" s="1"/>
      <c r="J310" s="1"/>
      <c r="K310" s="1"/>
      <c r="L310" s="1"/>
      <c r="M310" s="1"/>
      <c r="N310" s="1"/>
    </row>
    <row r="311" customFormat="false" ht="15" hidden="false" customHeight="false" outlineLevel="0" collapsed="false">
      <c r="A311" s="1"/>
      <c r="B311" s="1"/>
      <c r="C311" s="1"/>
      <c r="D311" s="1"/>
      <c r="E311" s="1"/>
      <c r="F311" s="1"/>
      <c r="G311" s="1"/>
      <c r="H311" s="1"/>
      <c r="I311" s="1"/>
      <c r="J311" s="1"/>
      <c r="K311" s="1"/>
      <c r="L311" s="1"/>
      <c r="M311" s="1"/>
      <c r="N311" s="1"/>
    </row>
  </sheetData>
  <autoFilter ref="B6:N306"/>
  <conditionalFormatting sqref="L7:L306">
    <cfRule type="cellIs" priority="2" operator="equal" aboveAverage="0" equalAverage="0" bottom="0" percent="0" rank="0" text="" dxfId="6">
      <formula>"Dejada"</formula>
    </cfRule>
    <cfRule type="cellIs" priority="3" operator="equal" aboveAverage="0" equalAverage="0" bottom="0" percent="0" rank="0" text="" dxfId="7">
      <formula>"Descartada"</formula>
    </cfRule>
  </conditionalFormatting>
  <conditionalFormatting sqref="G7:G306">
    <cfRule type="cellIs" priority="4" operator="equal" aboveAverage="0" equalAverage="0" bottom="0" percent="0" rank="0" text="" dxfId="8">
      <formula>"No"</formula>
    </cfRule>
  </conditionalFormatting>
  <dataValidations count="2">
    <dataValidation allowBlank="true" errorStyle="stop" operator="between" showDropDown="false" showErrorMessage="false" showInputMessage="false" sqref="E7:E306" type="list">
      <formula1>Listas!$F$3:$F$22</formula1>
      <formula2>0</formula2>
    </dataValidation>
    <dataValidation allowBlank="true" errorStyle="stop" operator="between" showDropDown="false" showErrorMessage="false" showInputMessage="false" sqref="L7:L306" type="list">
      <formula1>Listas!$B$3:$B$5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C4B6"/>
    <pageSetUpPr fitToPage="false"/>
  </sheetPr>
  <dimension ref="A1:O4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9"/>
    <col collapsed="false" customWidth="true" hidden="false" outlineLevel="0" max="3" min="3" style="0" width="12"/>
    <col collapsed="false" customWidth="true" hidden="false" outlineLevel="0" max="5" min="4" style="0" width="30"/>
    <col collapsed="false" customWidth="true" hidden="false" outlineLevel="0" max="9" min="6" style="0" width="12"/>
    <col collapsed="false" customWidth="true" hidden="false" outlineLevel="0" max="10" min="10" style="0" width="10"/>
    <col collapsed="false" customWidth="true" hidden="false" outlineLevel="0" max="12" min="11" style="0" width="12"/>
    <col collapsed="false" customWidth="true" hidden="false" outlineLevel="0" max="13" min="13" style="0" width="32"/>
  </cols>
  <sheetData>
    <row r="1" customFormat="false" ht="7.5" hidden="false" customHeight="true" outlineLevel="0" collapsed="false">
      <c r="A1" s="1"/>
      <c r="B1" s="1"/>
      <c r="C1" s="1"/>
      <c r="D1" s="1"/>
      <c r="E1" s="1"/>
      <c r="F1" s="1"/>
      <c r="G1" s="1"/>
      <c r="H1" s="1"/>
      <c r="I1" s="1"/>
      <c r="J1" s="1"/>
      <c r="K1" s="1"/>
      <c r="L1" s="1"/>
      <c r="M1" s="1"/>
      <c r="N1" s="1"/>
      <c r="O1" s="1"/>
    </row>
    <row r="2" customFormat="false" ht="18" hidden="false" customHeight="true" outlineLevel="0" collapsed="false">
      <c r="A2" s="1"/>
      <c r="B2" s="1"/>
      <c r="C2" s="1"/>
      <c r="D2" s="1"/>
      <c r="E2" s="2" t="s">
        <v>36</v>
      </c>
      <c r="F2" s="1"/>
      <c r="G2" s="1"/>
      <c r="H2" s="1"/>
      <c r="I2" s="1"/>
      <c r="J2" s="1"/>
      <c r="K2" s="1"/>
      <c r="L2" s="1"/>
      <c r="M2" s="1"/>
      <c r="N2" s="1"/>
      <c r="O2" s="1"/>
    </row>
    <row r="3" customFormat="false" ht="18" hidden="false" customHeight="true" outlineLevel="0" collapsed="false">
      <c r="A3" s="1"/>
      <c r="B3" s="1"/>
      <c r="C3" s="1"/>
      <c r="D3" s="1"/>
      <c r="E3" s="3" t="s">
        <v>37</v>
      </c>
      <c r="F3" s="1"/>
      <c r="G3" s="1"/>
      <c r="H3" s="1"/>
      <c r="I3" s="1"/>
      <c r="J3" s="1"/>
      <c r="K3" s="1"/>
      <c r="L3" s="1"/>
      <c r="M3" s="1"/>
      <c r="N3" s="1"/>
      <c r="O3" s="1"/>
    </row>
    <row r="4" customFormat="false" ht="15" hidden="false" customHeight="false" outlineLevel="0" collapsed="false">
      <c r="A4" s="1"/>
      <c r="B4" s="1"/>
      <c r="C4" s="1"/>
      <c r="D4" s="1"/>
      <c r="E4" s="1"/>
      <c r="F4" s="1"/>
      <c r="G4" s="1"/>
      <c r="H4" s="1"/>
      <c r="I4" s="1"/>
      <c r="J4" s="1"/>
      <c r="K4" s="1"/>
      <c r="L4" s="1"/>
      <c r="M4" s="1"/>
      <c r="N4" s="1"/>
      <c r="O4" s="1"/>
    </row>
    <row r="5" customFormat="false" ht="15" hidden="false" customHeight="false" outlineLevel="0" collapsed="false">
      <c r="A5" s="1"/>
      <c r="B5" s="1"/>
      <c r="C5" s="1"/>
      <c r="D5" s="1"/>
      <c r="E5" s="1"/>
      <c r="F5" s="1"/>
      <c r="G5" s="1"/>
      <c r="H5" s="1"/>
      <c r="I5" s="1"/>
      <c r="J5" s="1"/>
      <c r="K5" s="1"/>
      <c r="L5" s="1"/>
      <c r="M5" s="1"/>
      <c r="N5" s="1"/>
      <c r="O5" s="1"/>
    </row>
    <row r="6" customFormat="false" ht="33.75" hidden="false" customHeight="true" outlineLevel="0" collapsed="false">
      <c r="A6" s="1"/>
      <c r="B6" s="7" t="s">
        <v>17</v>
      </c>
      <c r="C6" s="7" t="s">
        <v>38</v>
      </c>
      <c r="D6" s="7" t="s">
        <v>39</v>
      </c>
      <c r="E6" s="7" t="s">
        <v>40</v>
      </c>
      <c r="F6" s="7" t="s">
        <v>41</v>
      </c>
      <c r="G6" s="7" t="s">
        <v>42</v>
      </c>
      <c r="H6" s="7" t="s">
        <v>43</v>
      </c>
      <c r="I6" s="7" t="s">
        <v>44</v>
      </c>
      <c r="J6" s="7" t="s">
        <v>45</v>
      </c>
      <c r="K6" s="7" t="s">
        <v>46</v>
      </c>
      <c r="L6" s="7" t="s">
        <v>47</v>
      </c>
      <c r="M6" s="7" t="s">
        <v>29</v>
      </c>
      <c r="N6" s="1"/>
      <c r="O6" s="1"/>
    </row>
    <row r="7" customFormat="false" ht="15" hidden="false" customHeight="false" outlineLevel="0" collapsed="false">
      <c r="A7" s="1"/>
      <c r="B7" s="8" t="str">
        <f aca="false">IF(D7="","","P-"&amp;TEXT(ROW()-6,"000"))</f>
        <v>P-001</v>
      </c>
      <c r="C7" s="10" t="s">
        <v>48</v>
      </c>
      <c r="D7" s="10" t="s">
        <v>49</v>
      </c>
      <c r="E7" s="10"/>
      <c r="F7" s="18" t="n">
        <v>29.9</v>
      </c>
      <c r="G7" s="11" t="n">
        <v>1800</v>
      </c>
      <c r="H7" s="10" t="n">
        <v>4</v>
      </c>
      <c r="I7" s="12" t="str">
        <f aca="false">IF(H7="","",IF(H7&lt;10,"Sí","No"))</f>
        <v>Sí</v>
      </c>
      <c r="J7" s="10" t="s">
        <v>50</v>
      </c>
      <c r="K7" s="12" t="n">
        <f aca="false">IF(B7="","",COUNTIFS(Competencia!$B$7:$B$406,B7,Competencia!$G$7:$G$406,"Sí"))</f>
        <v>1</v>
      </c>
      <c r="L7" s="10" t="s">
        <v>51</v>
      </c>
      <c r="M7" s="10" t="s">
        <v>35</v>
      </c>
      <c r="N7" s="1"/>
      <c r="O7" s="1"/>
    </row>
    <row r="8" customFormat="false" ht="15" hidden="false" customHeight="false" outlineLevel="0" collapsed="false">
      <c r="A8" s="1"/>
      <c r="B8" s="13" t="str">
        <f aca="false">IF(D8="","","P-"&amp;TEXT(ROW()-6,"000"))</f>
        <v/>
      </c>
      <c r="C8" s="15"/>
      <c r="D8" s="15"/>
      <c r="E8" s="15"/>
      <c r="F8" s="19"/>
      <c r="G8" s="16"/>
      <c r="H8" s="15"/>
      <c r="I8" s="17" t="str">
        <f aca="false">IF(H8="","",IF(H8&lt;10,"Sí","No"))</f>
        <v/>
      </c>
      <c r="J8" s="15"/>
      <c r="K8" s="17" t="str">
        <f aca="false">IF(B8="","",COUNTIFS(Competencia!$B$7:$B$406,B8,Competencia!$G$7:$G$406,"Sí"))</f>
        <v/>
      </c>
      <c r="L8" s="15"/>
      <c r="M8" s="15"/>
      <c r="N8" s="1"/>
      <c r="O8" s="1"/>
    </row>
    <row r="9" customFormat="false" ht="15" hidden="false" customHeight="false" outlineLevel="0" collapsed="false">
      <c r="A9" s="1"/>
      <c r="B9" s="8" t="str">
        <f aca="false">IF(D9="","","P-"&amp;TEXT(ROW()-6,"000"))</f>
        <v/>
      </c>
      <c r="C9" s="10"/>
      <c r="D9" s="10"/>
      <c r="E9" s="10"/>
      <c r="F9" s="18"/>
      <c r="G9" s="11"/>
      <c r="H9" s="10"/>
      <c r="I9" s="12" t="str">
        <f aca="false">IF(H9="","",IF(H9&lt;10,"Sí","No"))</f>
        <v/>
      </c>
      <c r="J9" s="10"/>
      <c r="K9" s="12" t="str">
        <f aca="false">IF(B9="","",COUNTIFS(Competencia!$B$7:$B$406,B9,Competencia!$G$7:$G$406,"Sí"))</f>
        <v/>
      </c>
      <c r="L9" s="10"/>
      <c r="M9" s="10"/>
      <c r="N9" s="1"/>
      <c r="O9" s="1"/>
    </row>
    <row r="10" customFormat="false" ht="15" hidden="false" customHeight="false" outlineLevel="0" collapsed="false">
      <c r="A10" s="1"/>
      <c r="B10" s="13" t="str">
        <f aca="false">IF(D10="","","P-"&amp;TEXT(ROW()-6,"000"))</f>
        <v/>
      </c>
      <c r="C10" s="15"/>
      <c r="D10" s="15"/>
      <c r="E10" s="15"/>
      <c r="F10" s="19"/>
      <c r="G10" s="16"/>
      <c r="H10" s="15"/>
      <c r="I10" s="17" t="str">
        <f aca="false">IF(H10="","",IF(H10&lt;10,"Sí","No"))</f>
        <v/>
      </c>
      <c r="J10" s="15"/>
      <c r="K10" s="17" t="str">
        <f aca="false">IF(B10="","",COUNTIFS(Competencia!$B$7:$B$406,B10,Competencia!$G$7:$G$406,"Sí"))</f>
        <v/>
      </c>
      <c r="L10" s="15"/>
      <c r="M10" s="15"/>
      <c r="N10" s="1"/>
      <c r="O10" s="1"/>
    </row>
    <row r="11" customFormat="false" ht="15" hidden="false" customHeight="false" outlineLevel="0" collapsed="false">
      <c r="A11" s="1"/>
      <c r="B11" s="8" t="str">
        <f aca="false">IF(D11="","","P-"&amp;TEXT(ROW()-6,"000"))</f>
        <v/>
      </c>
      <c r="C11" s="10"/>
      <c r="D11" s="10"/>
      <c r="E11" s="10"/>
      <c r="F11" s="18"/>
      <c r="G11" s="11"/>
      <c r="H11" s="10"/>
      <c r="I11" s="12" t="str">
        <f aca="false">IF(H11="","",IF(H11&lt;10,"Sí","No"))</f>
        <v/>
      </c>
      <c r="J11" s="10"/>
      <c r="K11" s="12" t="str">
        <f aca="false">IF(B11="","",COUNTIFS(Competencia!$B$7:$B$406,B11,Competencia!$G$7:$G$406,"Sí"))</f>
        <v/>
      </c>
      <c r="L11" s="10"/>
      <c r="M11" s="10"/>
      <c r="N11" s="1"/>
      <c r="O11" s="1"/>
    </row>
    <row r="12" customFormat="false" ht="15" hidden="false" customHeight="false" outlineLevel="0" collapsed="false">
      <c r="A12" s="1"/>
      <c r="B12" s="13" t="str">
        <f aca="false">IF(D12="","","P-"&amp;TEXT(ROW()-6,"000"))</f>
        <v/>
      </c>
      <c r="C12" s="15"/>
      <c r="D12" s="15"/>
      <c r="E12" s="15"/>
      <c r="F12" s="19"/>
      <c r="G12" s="16"/>
      <c r="H12" s="15"/>
      <c r="I12" s="17" t="str">
        <f aca="false">IF(H12="","",IF(H12&lt;10,"Sí","No"))</f>
        <v/>
      </c>
      <c r="J12" s="15"/>
      <c r="K12" s="17" t="str">
        <f aca="false">IF(B12="","",COUNTIFS(Competencia!$B$7:$B$406,B12,Competencia!$G$7:$G$406,"Sí"))</f>
        <v/>
      </c>
      <c r="L12" s="15"/>
      <c r="M12" s="15"/>
      <c r="N12" s="1"/>
      <c r="O12" s="1"/>
    </row>
    <row r="13" customFormat="false" ht="15" hidden="false" customHeight="false" outlineLevel="0" collapsed="false">
      <c r="A13" s="1"/>
      <c r="B13" s="8" t="str">
        <f aca="false">IF(D13="","","P-"&amp;TEXT(ROW()-6,"000"))</f>
        <v/>
      </c>
      <c r="C13" s="10"/>
      <c r="D13" s="10"/>
      <c r="E13" s="10"/>
      <c r="F13" s="18"/>
      <c r="G13" s="11"/>
      <c r="H13" s="10"/>
      <c r="I13" s="12" t="str">
        <f aca="false">IF(H13="","",IF(H13&lt;10,"Sí","No"))</f>
        <v/>
      </c>
      <c r="J13" s="10"/>
      <c r="K13" s="12" t="str">
        <f aca="false">IF(B13="","",COUNTIFS(Competencia!$B$7:$B$406,B13,Competencia!$G$7:$G$406,"Sí"))</f>
        <v/>
      </c>
      <c r="L13" s="10"/>
      <c r="M13" s="10"/>
      <c r="N13" s="1"/>
      <c r="O13" s="1"/>
    </row>
    <row r="14" customFormat="false" ht="15" hidden="false" customHeight="false" outlineLevel="0" collapsed="false">
      <c r="A14" s="1"/>
      <c r="B14" s="13" t="str">
        <f aca="false">IF(D14="","","P-"&amp;TEXT(ROW()-6,"000"))</f>
        <v/>
      </c>
      <c r="C14" s="15"/>
      <c r="D14" s="15"/>
      <c r="E14" s="15"/>
      <c r="F14" s="19"/>
      <c r="G14" s="16"/>
      <c r="H14" s="15"/>
      <c r="I14" s="17" t="str">
        <f aca="false">IF(H14="","",IF(H14&lt;10,"Sí","No"))</f>
        <v/>
      </c>
      <c r="J14" s="15"/>
      <c r="K14" s="17" t="str">
        <f aca="false">IF(B14="","",COUNTIFS(Competencia!$B$7:$B$406,B14,Competencia!$G$7:$G$406,"Sí"))</f>
        <v/>
      </c>
      <c r="L14" s="15"/>
      <c r="M14" s="15"/>
      <c r="N14" s="1"/>
      <c r="O14" s="1"/>
    </row>
    <row r="15" customFormat="false" ht="15" hidden="false" customHeight="false" outlineLevel="0" collapsed="false">
      <c r="A15" s="1"/>
      <c r="B15" s="8" t="str">
        <f aca="false">IF(D15="","","P-"&amp;TEXT(ROW()-6,"000"))</f>
        <v/>
      </c>
      <c r="C15" s="10"/>
      <c r="D15" s="10"/>
      <c r="E15" s="10"/>
      <c r="F15" s="18"/>
      <c r="G15" s="11"/>
      <c r="H15" s="10"/>
      <c r="I15" s="12" t="str">
        <f aca="false">IF(H15="","",IF(H15&lt;10,"Sí","No"))</f>
        <v/>
      </c>
      <c r="J15" s="10"/>
      <c r="K15" s="12" t="str">
        <f aca="false">IF(B15="","",COUNTIFS(Competencia!$B$7:$B$406,B15,Competencia!$G$7:$G$406,"Sí"))</f>
        <v/>
      </c>
      <c r="L15" s="10"/>
      <c r="M15" s="10"/>
      <c r="N15" s="1"/>
      <c r="O15" s="1"/>
    </row>
    <row r="16" customFormat="false" ht="15" hidden="false" customHeight="false" outlineLevel="0" collapsed="false">
      <c r="A16" s="1"/>
      <c r="B16" s="13" t="str">
        <f aca="false">IF(D16="","","P-"&amp;TEXT(ROW()-6,"000"))</f>
        <v/>
      </c>
      <c r="C16" s="15"/>
      <c r="D16" s="15"/>
      <c r="E16" s="15"/>
      <c r="F16" s="19"/>
      <c r="G16" s="16"/>
      <c r="H16" s="15"/>
      <c r="I16" s="17" t="str">
        <f aca="false">IF(H16="","",IF(H16&lt;10,"Sí","No"))</f>
        <v/>
      </c>
      <c r="J16" s="15"/>
      <c r="K16" s="17" t="str">
        <f aca="false">IF(B16="","",COUNTIFS(Competencia!$B$7:$B$406,B16,Competencia!$G$7:$G$406,"Sí"))</f>
        <v/>
      </c>
      <c r="L16" s="15"/>
      <c r="M16" s="15"/>
      <c r="N16" s="1"/>
      <c r="O16" s="1"/>
    </row>
    <row r="17" customFormat="false" ht="15" hidden="false" customHeight="false" outlineLevel="0" collapsed="false">
      <c r="A17" s="1"/>
      <c r="B17" s="8" t="str">
        <f aca="false">IF(D17="","","P-"&amp;TEXT(ROW()-6,"000"))</f>
        <v/>
      </c>
      <c r="C17" s="10"/>
      <c r="D17" s="10"/>
      <c r="E17" s="10"/>
      <c r="F17" s="18"/>
      <c r="G17" s="11"/>
      <c r="H17" s="10"/>
      <c r="I17" s="12" t="str">
        <f aca="false">IF(H17="","",IF(H17&lt;10,"Sí","No"))</f>
        <v/>
      </c>
      <c r="J17" s="10"/>
      <c r="K17" s="12" t="str">
        <f aca="false">IF(B17="","",COUNTIFS(Competencia!$B$7:$B$406,B17,Competencia!$G$7:$G$406,"Sí"))</f>
        <v/>
      </c>
      <c r="L17" s="10"/>
      <c r="M17" s="10"/>
      <c r="N17" s="1"/>
      <c r="O17" s="1"/>
    </row>
    <row r="18" customFormat="false" ht="15" hidden="false" customHeight="false" outlineLevel="0" collapsed="false">
      <c r="A18" s="1"/>
      <c r="B18" s="13" t="str">
        <f aca="false">IF(D18="","","P-"&amp;TEXT(ROW()-6,"000"))</f>
        <v/>
      </c>
      <c r="C18" s="15"/>
      <c r="D18" s="15"/>
      <c r="E18" s="15"/>
      <c r="F18" s="19"/>
      <c r="G18" s="16"/>
      <c r="H18" s="15"/>
      <c r="I18" s="17" t="str">
        <f aca="false">IF(H18="","",IF(H18&lt;10,"Sí","No"))</f>
        <v/>
      </c>
      <c r="J18" s="15"/>
      <c r="K18" s="17" t="str">
        <f aca="false">IF(B18="","",COUNTIFS(Competencia!$B$7:$B$406,B18,Competencia!$G$7:$G$406,"Sí"))</f>
        <v/>
      </c>
      <c r="L18" s="15"/>
      <c r="M18" s="15"/>
      <c r="N18" s="1"/>
      <c r="O18" s="1"/>
    </row>
    <row r="19" customFormat="false" ht="15" hidden="false" customHeight="false" outlineLevel="0" collapsed="false">
      <c r="A19" s="1"/>
      <c r="B19" s="8" t="str">
        <f aca="false">IF(D19="","","P-"&amp;TEXT(ROW()-6,"000"))</f>
        <v/>
      </c>
      <c r="C19" s="10"/>
      <c r="D19" s="10"/>
      <c r="E19" s="10"/>
      <c r="F19" s="18"/>
      <c r="G19" s="11"/>
      <c r="H19" s="10"/>
      <c r="I19" s="12" t="str">
        <f aca="false">IF(H19="","",IF(H19&lt;10,"Sí","No"))</f>
        <v/>
      </c>
      <c r="J19" s="10"/>
      <c r="K19" s="12" t="str">
        <f aca="false">IF(B19="","",COUNTIFS(Competencia!$B$7:$B$406,B19,Competencia!$G$7:$G$406,"Sí"))</f>
        <v/>
      </c>
      <c r="L19" s="10"/>
      <c r="M19" s="10"/>
      <c r="N19" s="1"/>
      <c r="O19" s="1"/>
    </row>
    <row r="20" customFormat="false" ht="15" hidden="false" customHeight="false" outlineLevel="0" collapsed="false">
      <c r="A20" s="1"/>
      <c r="B20" s="13" t="str">
        <f aca="false">IF(D20="","","P-"&amp;TEXT(ROW()-6,"000"))</f>
        <v/>
      </c>
      <c r="C20" s="15"/>
      <c r="D20" s="15"/>
      <c r="E20" s="15"/>
      <c r="F20" s="19"/>
      <c r="G20" s="16"/>
      <c r="H20" s="15"/>
      <c r="I20" s="17" t="str">
        <f aca="false">IF(H20="","",IF(H20&lt;10,"Sí","No"))</f>
        <v/>
      </c>
      <c r="J20" s="15"/>
      <c r="K20" s="17" t="str">
        <f aca="false">IF(B20="","",COUNTIFS(Competencia!$B$7:$B$406,B20,Competencia!$G$7:$G$406,"Sí"))</f>
        <v/>
      </c>
      <c r="L20" s="15"/>
      <c r="M20" s="15"/>
      <c r="N20" s="1"/>
      <c r="O20" s="1"/>
    </row>
    <row r="21" customFormat="false" ht="15" hidden="false" customHeight="false" outlineLevel="0" collapsed="false">
      <c r="A21" s="1"/>
      <c r="B21" s="8" t="str">
        <f aca="false">IF(D21="","","P-"&amp;TEXT(ROW()-6,"000"))</f>
        <v/>
      </c>
      <c r="C21" s="10"/>
      <c r="D21" s="10"/>
      <c r="E21" s="10"/>
      <c r="F21" s="18"/>
      <c r="G21" s="11"/>
      <c r="H21" s="10"/>
      <c r="I21" s="12" t="str">
        <f aca="false">IF(H21="","",IF(H21&lt;10,"Sí","No"))</f>
        <v/>
      </c>
      <c r="J21" s="10"/>
      <c r="K21" s="12" t="str">
        <f aca="false">IF(B21="","",COUNTIFS(Competencia!$B$7:$B$406,B21,Competencia!$G$7:$G$406,"Sí"))</f>
        <v/>
      </c>
      <c r="L21" s="10"/>
      <c r="M21" s="10"/>
      <c r="N21" s="1"/>
      <c r="O21" s="1"/>
    </row>
    <row r="22" customFormat="false" ht="15" hidden="false" customHeight="false" outlineLevel="0" collapsed="false">
      <c r="A22" s="1"/>
      <c r="B22" s="13" t="str">
        <f aca="false">IF(D22="","","P-"&amp;TEXT(ROW()-6,"000"))</f>
        <v/>
      </c>
      <c r="C22" s="15"/>
      <c r="D22" s="15"/>
      <c r="E22" s="15"/>
      <c r="F22" s="19"/>
      <c r="G22" s="16"/>
      <c r="H22" s="15"/>
      <c r="I22" s="17" t="str">
        <f aca="false">IF(H22="","",IF(H22&lt;10,"Sí","No"))</f>
        <v/>
      </c>
      <c r="J22" s="15"/>
      <c r="K22" s="17" t="str">
        <f aca="false">IF(B22="","",COUNTIFS(Competencia!$B$7:$B$406,B22,Competencia!$G$7:$G$406,"Sí"))</f>
        <v/>
      </c>
      <c r="L22" s="15"/>
      <c r="M22" s="15"/>
      <c r="N22" s="1"/>
      <c r="O22" s="1"/>
    </row>
    <row r="23" customFormat="false" ht="15" hidden="false" customHeight="false" outlineLevel="0" collapsed="false">
      <c r="A23" s="1"/>
      <c r="B23" s="8" t="str">
        <f aca="false">IF(D23="","","P-"&amp;TEXT(ROW()-6,"000"))</f>
        <v/>
      </c>
      <c r="C23" s="10"/>
      <c r="D23" s="10"/>
      <c r="E23" s="10"/>
      <c r="F23" s="18"/>
      <c r="G23" s="11"/>
      <c r="H23" s="10"/>
      <c r="I23" s="12" t="str">
        <f aca="false">IF(H23="","",IF(H23&lt;10,"Sí","No"))</f>
        <v/>
      </c>
      <c r="J23" s="10"/>
      <c r="K23" s="12" t="str">
        <f aca="false">IF(B23="","",COUNTIFS(Competencia!$B$7:$B$406,B23,Competencia!$G$7:$G$406,"Sí"))</f>
        <v/>
      </c>
      <c r="L23" s="10"/>
      <c r="M23" s="10"/>
      <c r="N23" s="1"/>
      <c r="O23" s="1"/>
    </row>
    <row r="24" customFormat="false" ht="15" hidden="false" customHeight="false" outlineLevel="0" collapsed="false">
      <c r="A24" s="1"/>
      <c r="B24" s="13" t="str">
        <f aca="false">IF(D24="","","P-"&amp;TEXT(ROW()-6,"000"))</f>
        <v/>
      </c>
      <c r="C24" s="15"/>
      <c r="D24" s="15"/>
      <c r="E24" s="15"/>
      <c r="F24" s="19"/>
      <c r="G24" s="16"/>
      <c r="H24" s="15"/>
      <c r="I24" s="17" t="str">
        <f aca="false">IF(H24="","",IF(H24&lt;10,"Sí","No"))</f>
        <v/>
      </c>
      <c r="J24" s="15"/>
      <c r="K24" s="17" t="str">
        <f aca="false">IF(B24="","",COUNTIFS(Competencia!$B$7:$B$406,B24,Competencia!$G$7:$G$406,"Sí"))</f>
        <v/>
      </c>
      <c r="L24" s="15"/>
      <c r="M24" s="15"/>
      <c r="N24" s="1"/>
      <c r="O24" s="1"/>
    </row>
    <row r="25" customFormat="false" ht="15" hidden="false" customHeight="false" outlineLevel="0" collapsed="false">
      <c r="A25" s="1"/>
      <c r="B25" s="8" t="str">
        <f aca="false">IF(D25="","","P-"&amp;TEXT(ROW()-6,"000"))</f>
        <v/>
      </c>
      <c r="C25" s="10"/>
      <c r="D25" s="10"/>
      <c r="E25" s="10"/>
      <c r="F25" s="18"/>
      <c r="G25" s="11"/>
      <c r="H25" s="10"/>
      <c r="I25" s="12" t="str">
        <f aca="false">IF(H25="","",IF(H25&lt;10,"Sí","No"))</f>
        <v/>
      </c>
      <c r="J25" s="10"/>
      <c r="K25" s="12" t="str">
        <f aca="false">IF(B25="","",COUNTIFS(Competencia!$B$7:$B$406,B25,Competencia!$G$7:$G$406,"Sí"))</f>
        <v/>
      </c>
      <c r="L25" s="10"/>
      <c r="M25" s="10"/>
      <c r="N25" s="1"/>
      <c r="O25" s="1"/>
    </row>
    <row r="26" customFormat="false" ht="15" hidden="false" customHeight="false" outlineLevel="0" collapsed="false">
      <c r="A26" s="1"/>
      <c r="B26" s="13" t="str">
        <f aca="false">IF(D26="","","P-"&amp;TEXT(ROW()-6,"000"))</f>
        <v/>
      </c>
      <c r="C26" s="15"/>
      <c r="D26" s="15"/>
      <c r="E26" s="15"/>
      <c r="F26" s="19"/>
      <c r="G26" s="16"/>
      <c r="H26" s="15"/>
      <c r="I26" s="17" t="str">
        <f aca="false">IF(H26="","",IF(H26&lt;10,"Sí","No"))</f>
        <v/>
      </c>
      <c r="J26" s="15"/>
      <c r="K26" s="17" t="str">
        <f aca="false">IF(B26="","",COUNTIFS(Competencia!$B$7:$B$406,B26,Competencia!$G$7:$G$406,"Sí"))</f>
        <v/>
      </c>
      <c r="L26" s="15"/>
      <c r="M26" s="15"/>
      <c r="N26" s="1"/>
      <c r="O26" s="1"/>
    </row>
    <row r="27" customFormat="false" ht="15" hidden="false" customHeight="false" outlineLevel="0" collapsed="false">
      <c r="A27" s="1"/>
      <c r="B27" s="8" t="str">
        <f aca="false">IF(D27="","","P-"&amp;TEXT(ROW()-6,"000"))</f>
        <v/>
      </c>
      <c r="C27" s="10"/>
      <c r="D27" s="10"/>
      <c r="E27" s="10"/>
      <c r="F27" s="18"/>
      <c r="G27" s="11"/>
      <c r="H27" s="10"/>
      <c r="I27" s="12" t="str">
        <f aca="false">IF(H27="","",IF(H27&lt;10,"Sí","No"))</f>
        <v/>
      </c>
      <c r="J27" s="10"/>
      <c r="K27" s="12" t="str">
        <f aca="false">IF(B27="","",COUNTIFS(Competencia!$B$7:$B$406,B27,Competencia!$G$7:$G$406,"Sí"))</f>
        <v/>
      </c>
      <c r="L27" s="10"/>
      <c r="M27" s="10"/>
      <c r="N27" s="1"/>
      <c r="O27" s="1"/>
    </row>
    <row r="28" customFormat="false" ht="15" hidden="false" customHeight="false" outlineLevel="0" collapsed="false">
      <c r="A28" s="1"/>
      <c r="B28" s="13" t="str">
        <f aca="false">IF(D28="","","P-"&amp;TEXT(ROW()-6,"000"))</f>
        <v/>
      </c>
      <c r="C28" s="15"/>
      <c r="D28" s="15"/>
      <c r="E28" s="15"/>
      <c r="F28" s="19"/>
      <c r="G28" s="16"/>
      <c r="H28" s="15"/>
      <c r="I28" s="17" t="str">
        <f aca="false">IF(H28="","",IF(H28&lt;10,"Sí","No"))</f>
        <v/>
      </c>
      <c r="J28" s="15"/>
      <c r="K28" s="17" t="str">
        <f aca="false">IF(B28="","",COUNTIFS(Competencia!$B$7:$B$406,B28,Competencia!$G$7:$G$406,"Sí"))</f>
        <v/>
      </c>
      <c r="L28" s="15"/>
      <c r="M28" s="15"/>
      <c r="N28" s="1"/>
      <c r="O28" s="1"/>
    </row>
    <row r="29" customFormat="false" ht="15" hidden="false" customHeight="false" outlineLevel="0" collapsed="false">
      <c r="A29" s="1"/>
      <c r="B29" s="8" t="str">
        <f aca="false">IF(D29="","","P-"&amp;TEXT(ROW()-6,"000"))</f>
        <v/>
      </c>
      <c r="C29" s="10"/>
      <c r="D29" s="10"/>
      <c r="E29" s="10"/>
      <c r="F29" s="18"/>
      <c r="G29" s="11"/>
      <c r="H29" s="10"/>
      <c r="I29" s="12" t="str">
        <f aca="false">IF(H29="","",IF(H29&lt;10,"Sí","No"))</f>
        <v/>
      </c>
      <c r="J29" s="10"/>
      <c r="K29" s="12" t="str">
        <f aca="false">IF(B29="","",COUNTIFS(Competencia!$B$7:$B$406,B29,Competencia!$G$7:$G$406,"Sí"))</f>
        <v/>
      </c>
      <c r="L29" s="10"/>
      <c r="M29" s="10"/>
      <c r="N29" s="1"/>
      <c r="O29" s="1"/>
    </row>
    <row r="30" customFormat="false" ht="15" hidden="false" customHeight="false" outlineLevel="0" collapsed="false">
      <c r="A30" s="1"/>
      <c r="B30" s="13" t="str">
        <f aca="false">IF(D30="","","P-"&amp;TEXT(ROW()-6,"000"))</f>
        <v/>
      </c>
      <c r="C30" s="15"/>
      <c r="D30" s="15"/>
      <c r="E30" s="15"/>
      <c r="F30" s="19"/>
      <c r="G30" s="16"/>
      <c r="H30" s="15"/>
      <c r="I30" s="17" t="str">
        <f aca="false">IF(H30="","",IF(H30&lt;10,"Sí","No"))</f>
        <v/>
      </c>
      <c r="J30" s="15"/>
      <c r="K30" s="17" t="str">
        <f aca="false">IF(B30="","",COUNTIFS(Competencia!$B$7:$B$406,B30,Competencia!$G$7:$G$406,"Sí"))</f>
        <v/>
      </c>
      <c r="L30" s="15"/>
      <c r="M30" s="15"/>
      <c r="N30" s="1"/>
      <c r="O30" s="1"/>
    </row>
    <row r="31" customFormat="false" ht="15" hidden="false" customHeight="false" outlineLevel="0" collapsed="false">
      <c r="A31" s="1"/>
      <c r="B31" s="8" t="str">
        <f aca="false">IF(D31="","","P-"&amp;TEXT(ROW()-6,"000"))</f>
        <v/>
      </c>
      <c r="C31" s="10"/>
      <c r="D31" s="10"/>
      <c r="E31" s="10"/>
      <c r="F31" s="18"/>
      <c r="G31" s="11"/>
      <c r="H31" s="10"/>
      <c r="I31" s="12" t="str">
        <f aca="false">IF(H31="","",IF(H31&lt;10,"Sí","No"))</f>
        <v/>
      </c>
      <c r="J31" s="10"/>
      <c r="K31" s="12" t="str">
        <f aca="false">IF(B31="","",COUNTIFS(Competencia!$B$7:$B$406,B31,Competencia!$G$7:$G$406,"Sí"))</f>
        <v/>
      </c>
      <c r="L31" s="10"/>
      <c r="M31" s="10"/>
      <c r="N31" s="1"/>
      <c r="O31" s="1"/>
    </row>
    <row r="32" customFormat="false" ht="15" hidden="false" customHeight="false" outlineLevel="0" collapsed="false">
      <c r="A32" s="1"/>
      <c r="B32" s="13" t="str">
        <f aca="false">IF(D32="","","P-"&amp;TEXT(ROW()-6,"000"))</f>
        <v/>
      </c>
      <c r="C32" s="15"/>
      <c r="D32" s="15"/>
      <c r="E32" s="15"/>
      <c r="F32" s="19"/>
      <c r="G32" s="16"/>
      <c r="H32" s="15"/>
      <c r="I32" s="17" t="str">
        <f aca="false">IF(H32="","",IF(H32&lt;10,"Sí","No"))</f>
        <v/>
      </c>
      <c r="J32" s="15"/>
      <c r="K32" s="17" t="str">
        <f aca="false">IF(B32="","",COUNTIFS(Competencia!$B$7:$B$406,B32,Competencia!$G$7:$G$406,"Sí"))</f>
        <v/>
      </c>
      <c r="L32" s="15"/>
      <c r="M32" s="15"/>
      <c r="N32" s="1"/>
      <c r="O32" s="1"/>
    </row>
    <row r="33" customFormat="false" ht="15" hidden="false" customHeight="false" outlineLevel="0" collapsed="false">
      <c r="A33" s="1"/>
      <c r="B33" s="8" t="str">
        <f aca="false">IF(D33="","","P-"&amp;TEXT(ROW()-6,"000"))</f>
        <v/>
      </c>
      <c r="C33" s="10"/>
      <c r="D33" s="10"/>
      <c r="E33" s="10"/>
      <c r="F33" s="18"/>
      <c r="G33" s="11"/>
      <c r="H33" s="10"/>
      <c r="I33" s="12" t="str">
        <f aca="false">IF(H33="","",IF(H33&lt;10,"Sí","No"))</f>
        <v/>
      </c>
      <c r="J33" s="10"/>
      <c r="K33" s="12" t="str">
        <f aca="false">IF(B33="","",COUNTIFS(Competencia!$B$7:$B$406,B33,Competencia!$G$7:$G$406,"Sí"))</f>
        <v/>
      </c>
      <c r="L33" s="10"/>
      <c r="M33" s="10"/>
      <c r="N33" s="1"/>
      <c r="O33" s="1"/>
    </row>
    <row r="34" customFormat="false" ht="15" hidden="false" customHeight="false" outlineLevel="0" collapsed="false">
      <c r="A34" s="1"/>
      <c r="B34" s="13" t="str">
        <f aca="false">IF(D34="","","P-"&amp;TEXT(ROW()-6,"000"))</f>
        <v/>
      </c>
      <c r="C34" s="15"/>
      <c r="D34" s="15"/>
      <c r="E34" s="15"/>
      <c r="F34" s="19"/>
      <c r="G34" s="16"/>
      <c r="H34" s="15"/>
      <c r="I34" s="17" t="str">
        <f aca="false">IF(H34="","",IF(H34&lt;10,"Sí","No"))</f>
        <v/>
      </c>
      <c r="J34" s="15"/>
      <c r="K34" s="17" t="str">
        <f aca="false">IF(B34="","",COUNTIFS(Competencia!$B$7:$B$406,B34,Competencia!$G$7:$G$406,"Sí"))</f>
        <v/>
      </c>
      <c r="L34" s="15"/>
      <c r="M34" s="15"/>
      <c r="N34" s="1"/>
      <c r="O34" s="1"/>
    </row>
    <row r="35" customFormat="false" ht="15" hidden="false" customHeight="false" outlineLevel="0" collapsed="false">
      <c r="A35" s="1"/>
      <c r="B35" s="8" t="str">
        <f aca="false">IF(D35="","","P-"&amp;TEXT(ROW()-6,"000"))</f>
        <v/>
      </c>
      <c r="C35" s="10"/>
      <c r="D35" s="10"/>
      <c r="E35" s="10"/>
      <c r="F35" s="18"/>
      <c r="G35" s="11"/>
      <c r="H35" s="10"/>
      <c r="I35" s="12" t="str">
        <f aca="false">IF(H35="","",IF(H35&lt;10,"Sí","No"))</f>
        <v/>
      </c>
      <c r="J35" s="10"/>
      <c r="K35" s="12" t="str">
        <f aca="false">IF(B35="","",COUNTIFS(Competencia!$B$7:$B$406,B35,Competencia!$G$7:$G$406,"Sí"))</f>
        <v/>
      </c>
      <c r="L35" s="10"/>
      <c r="M35" s="10"/>
      <c r="N35" s="1"/>
      <c r="O35" s="1"/>
    </row>
    <row r="36" customFormat="false" ht="15" hidden="false" customHeight="false" outlineLevel="0" collapsed="false">
      <c r="A36" s="1"/>
      <c r="B36" s="13" t="str">
        <f aca="false">IF(D36="","","P-"&amp;TEXT(ROW()-6,"000"))</f>
        <v/>
      </c>
      <c r="C36" s="15"/>
      <c r="D36" s="15"/>
      <c r="E36" s="15"/>
      <c r="F36" s="19"/>
      <c r="G36" s="16"/>
      <c r="H36" s="15"/>
      <c r="I36" s="17" t="str">
        <f aca="false">IF(H36="","",IF(H36&lt;10,"Sí","No"))</f>
        <v/>
      </c>
      <c r="J36" s="15"/>
      <c r="K36" s="17" t="str">
        <f aca="false">IF(B36="","",COUNTIFS(Competencia!$B$7:$B$406,B36,Competencia!$G$7:$G$406,"Sí"))</f>
        <v/>
      </c>
      <c r="L36" s="15"/>
      <c r="M36" s="15"/>
      <c r="N36" s="1"/>
      <c r="O36" s="1"/>
    </row>
    <row r="37" customFormat="false" ht="15" hidden="false" customHeight="false" outlineLevel="0" collapsed="false">
      <c r="A37" s="1"/>
      <c r="B37" s="8" t="str">
        <f aca="false">IF(D37="","","P-"&amp;TEXT(ROW()-6,"000"))</f>
        <v/>
      </c>
      <c r="C37" s="10"/>
      <c r="D37" s="10"/>
      <c r="E37" s="10"/>
      <c r="F37" s="18"/>
      <c r="G37" s="11"/>
      <c r="H37" s="10"/>
      <c r="I37" s="12" t="str">
        <f aca="false">IF(H37="","",IF(H37&lt;10,"Sí","No"))</f>
        <v/>
      </c>
      <c r="J37" s="10"/>
      <c r="K37" s="12" t="str">
        <f aca="false">IF(B37="","",COUNTIFS(Competencia!$B$7:$B$406,B37,Competencia!$G$7:$G$406,"Sí"))</f>
        <v/>
      </c>
      <c r="L37" s="10"/>
      <c r="M37" s="10"/>
      <c r="N37" s="1"/>
      <c r="O37" s="1"/>
    </row>
    <row r="38" customFormat="false" ht="15" hidden="false" customHeight="false" outlineLevel="0" collapsed="false">
      <c r="A38" s="1"/>
      <c r="B38" s="13" t="str">
        <f aca="false">IF(D38="","","P-"&amp;TEXT(ROW()-6,"000"))</f>
        <v/>
      </c>
      <c r="C38" s="15"/>
      <c r="D38" s="15"/>
      <c r="E38" s="15"/>
      <c r="F38" s="19"/>
      <c r="G38" s="16"/>
      <c r="H38" s="15"/>
      <c r="I38" s="17" t="str">
        <f aca="false">IF(H38="","",IF(H38&lt;10,"Sí","No"))</f>
        <v/>
      </c>
      <c r="J38" s="15"/>
      <c r="K38" s="17" t="str">
        <f aca="false">IF(B38="","",COUNTIFS(Competencia!$B$7:$B$406,B38,Competencia!$G$7:$G$406,"Sí"))</f>
        <v/>
      </c>
      <c r="L38" s="15"/>
      <c r="M38" s="15"/>
      <c r="N38" s="1"/>
      <c r="O38" s="1"/>
    </row>
    <row r="39" customFormat="false" ht="15" hidden="false" customHeight="false" outlineLevel="0" collapsed="false">
      <c r="A39" s="1"/>
      <c r="B39" s="8" t="str">
        <f aca="false">IF(D39="","","P-"&amp;TEXT(ROW()-6,"000"))</f>
        <v/>
      </c>
      <c r="C39" s="10"/>
      <c r="D39" s="10"/>
      <c r="E39" s="10"/>
      <c r="F39" s="18"/>
      <c r="G39" s="11"/>
      <c r="H39" s="10"/>
      <c r="I39" s="12" t="str">
        <f aca="false">IF(H39="","",IF(H39&lt;10,"Sí","No"))</f>
        <v/>
      </c>
      <c r="J39" s="10"/>
      <c r="K39" s="12" t="str">
        <f aca="false">IF(B39="","",COUNTIFS(Competencia!$B$7:$B$406,B39,Competencia!$G$7:$G$406,"Sí"))</f>
        <v/>
      </c>
      <c r="L39" s="10"/>
      <c r="M39" s="10"/>
      <c r="N39" s="1"/>
      <c r="O39" s="1"/>
    </row>
    <row r="40" customFormat="false" ht="15" hidden="false" customHeight="false" outlineLevel="0" collapsed="false">
      <c r="A40" s="1"/>
      <c r="B40" s="13" t="str">
        <f aca="false">IF(D40="","","P-"&amp;TEXT(ROW()-6,"000"))</f>
        <v/>
      </c>
      <c r="C40" s="15"/>
      <c r="D40" s="15"/>
      <c r="E40" s="15"/>
      <c r="F40" s="19"/>
      <c r="G40" s="16"/>
      <c r="H40" s="15"/>
      <c r="I40" s="17" t="str">
        <f aca="false">IF(H40="","",IF(H40&lt;10,"Sí","No"))</f>
        <v/>
      </c>
      <c r="J40" s="15"/>
      <c r="K40" s="17" t="str">
        <f aca="false">IF(B40="","",COUNTIFS(Competencia!$B$7:$B$406,B40,Competencia!$G$7:$G$406,"Sí"))</f>
        <v/>
      </c>
      <c r="L40" s="15"/>
      <c r="M40" s="15"/>
      <c r="N40" s="1"/>
      <c r="O40" s="1"/>
    </row>
    <row r="41" customFormat="false" ht="15" hidden="false" customHeight="false" outlineLevel="0" collapsed="false">
      <c r="A41" s="1"/>
      <c r="B41" s="8" t="str">
        <f aca="false">IF(D41="","","P-"&amp;TEXT(ROW()-6,"000"))</f>
        <v/>
      </c>
      <c r="C41" s="10"/>
      <c r="D41" s="10"/>
      <c r="E41" s="10"/>
      <c r="F41" s="18"/>
      <c r="G41" s="11"/>
      <c r="H41" s="10"/>
      <c r="I41" s="12" t="str">
        <f aca="false">IF(H41="","",IF(H41&lt;10,"Sí","No"))</f>
        <v/>
      </c>
      <c r="J41" s="10"/>
      <c r="K41" s="12" t="str">
        <f aca="false">IF(B41="","",COUNTIFS(Competencia!$B$7:$B$406,B41,Competencia!$G$7:$G$406,"Sí"))</f>
        <v/>
      </c>
      <c r="L41" s="10"/>
      <c r="M41" s="10"/>
      <c r="N41" s="1"/>
      <c r="O41" s="1"/>
    </row>
    <row r="42" customFormat="false" ht="15" hidden="false" customHeight="false" outlineLevel="0" collapsed="false">
      <c r="A42" s="1"/>
      <c r="B42" s="13" t="str">
        <f aca="false">IF(D42="","","P-"&amp;TEXT(ROW()-6,"000"))</f>
        <v/>
      </c>
      <c r="C42" s="15"/>
      <c r="D42" s="15"/>
      <c r="E42" s="15"/>
      <c r="F42" s="19"/>
      <c r="G42" s="16"/>
      <c r="H42" s="15"/>
      <c r="I42" s="17" t="str">
        <f aca="false">IF(H42="","",IF(H42&lt;10,"Sí","No"))</f>
        <v/>
      </c>
      <c r="J42" s="15"/>
      <c r="K42" s="17" t="str">
        <f aca="false">IF(B42="","",COUNTIFS(Competencia!$B$7:$B$406,B42,Competencia!$G$7:$G$406,"Sí"))</f>
        <v/>
      </c>
      <c r="L42" s="15"/>
      <c r="M42" s="15"/>
      <c r="N42" s="1"/>
      <c r="O42" s="1"/>
    </row>
    <row r="43" customFormat="false" ht="15" hidden="false" customHeight="false" outlineLevel="0" collapsed="false">
      <c r="A43" s="1"/>
      <c r="B43" s="8" t="str">
        <f aca="false">IF(D43="","","P-"&amp;TEXT(ROW()-6,"000"))</f>
        <v/>
      </c>
      <c r="C43" s="10"/>
      <c r="D43" s="10"/>
      <c r="E43" s="10"/>
      <c r="F43" s="18"/>
      <c r="G43" s="11"/>
      <c r="H43" s="10"/>
      <c r="I43" s="12" t="str">
        <f aca="false">IF(H43="","",IF(H43&lt;10,"Sí","No"))</f>
        <v/>
      </c>
      <c r="J43" s="10"/>
      <c r="K43" s="12" t="str">
        <f aca="false">IF(B43="","",COUNTIFS(Competencia!$B$7:$B$406,B43,Competencia!$G$7:$G$406,"Sí"))</f>
        <v/>
      </c>
      <c r="L43" s="10"/>
      <c r="M43" s="10"/>
      <c r="N43" s="1"/>
      <c r="O43" s="1"/>
    </row>
    <row r="44" customFormat="false" ht="15" hidden="false" customHeight="false" outlineLevel="0" collapsed="false">
      <c r="A44" s="1"/>
      <c r="B44" s="13" t="str">
        <f aca="false">IF(D44="","","P-"&amp;TEXT(ROW()-6,"000"))</f>
        <v/>
      </c>
      <c r="C44" s="15"/>
      <c r="D44" s="15"/>
      <c r="E44" s="15"/>
      <c r="F44" s="19"/>
      <c r="G44" s="16"/>
      <c r="H44" s="15"/>
      <c r="I44" s="17" t="str">
        <f aca="false">IF(H44="","",IF(H44&lt;10,"Sí","No"))</f>
        <v/>
      </c>
      <c r="J44" s="15"/>
      <c r="K44" s="17" t="str">
        <f aca="false">IF(B44="","",COUNTIFS(Competencia!$B$7:$B$406,B44,Competencia!$G$7:$G$406,"Sí"))</f>
        <v/>
      </c>
      <c r="L44" s="15"/>
      <c r="M44" s="15"/>
      <c r="N44" s="1"/>
      <c r="O44" s="1"/>
    </row>
    <row r="45" customFormat="false" ht="15" hidden="false" customHeight="false" outlineLevel="0" collapsed="false">
      <c r="A45" s="1"/>
      <c r="B45" s="8" t="str">
        <f aca="false">IF(D45="","","P-"&amp;TEXT(ROW()-6,"000"))</f>
        <v/>
      </c>
      <c r="C45" s="10"/>
      <c r="D45" s="10"/>
      <c r="E45" s="10"/>
      <c r="F45" s="18"/>
      <c r="G45" s="11"/>
      <c r="H45" s="10"/>
      <c r="I45" s="12" t="str">
        <f aca="false">IF(H45="","",IF(H45&lt;10,"Sí","No"))</f>
        <v/>
      </c>
      <c r="J45" s="10"/>
      <c r="K45" s="12" t="str">
        <f aca="false">IF(B45="","",COUNTIFS(Competencia!$B$7:$B$406,B45,Competencia!$G$7:$G$406,"Sí"))</f>
        <v/>
      </c>
      <c r="L45" s="10"/>
      <c r="M45" s="10"/>
      <c r="N45" s="1"/>
      <c r="O45" s="1"/>
    </row>
    <row r="46" customFormat="false" ht="15" hidden="false" customHeight="false" outlineLevel="0" collapsed="false">
      <c r="A46" s="1"/>
      <c r="B46" s="13" t="str">
        <f aca="false">IF(D46="","","P-"&amp;TEXT(ROW()-6,"000"))</f>
        <v/>
      </c>
      <c r="C46" s="15"/>
      <c r="D46" s="15"/>
      <c r="E46" s="15"/>
      <c r="F46" s="19"/>
      <c r="G46" s="16"/>
      <c r="H46" s="15"/>
      <c r="I46" s="17" t="str">
        <f aca="false">IF(H46="","",IF(H46&lt;10,"Sí","No"))</f>
        <v/>
      </c>
      <c r="J46" s="15"/>
      <c r="K46" s="17" t="str">
        <f aca="false">IF(B46="","",COUNTIFS(Competencia!$B$7:$B$406,B46,Competencia!$G$7:$G$406,"Sí"))</f>
        <v/>
      </c>
      <c r="L46" s="15"/>
      <c r="M46" s="15"/>
      <c r="N46" s="1"/>
      <c r="O46" s="1"/>
    </row>
    <row r="47" customFormat="false" ht="15" hidden="false" customHeight="false" outlineLevel="0" collapsed="false">
      <c r="A47" s="1"/>
      <c r="B47" s="8" t="str">
        <f aca="false">IF(D47="","","P-"&amp;TEXT(ROW()-6,"000"))</f>
        <v/>
      </c>
      <c r="C47" s="10"/>
      <c r="D47" s="10"/>
      <c r="E47" s="10"/>
      <c r="F47" s="18"/>
      <c r="G47" s="11"/>
      <c r="H47" s="10"/>
      <c r="I47" s="12" t="str">
        <f aca="false">IF(H47="","",IF(H47&lt;10,"Sí","No"))</f>
        <v/>
      </c>
      <c r="J47" s="10"/>
      <c r="K47" s="12" t="str">
        <f aca="false">IF(B47="","",COUNTIFS(Competencia!$B$7:$B$406,B47,Competencia!$G$7:$G$406,"Sí"))</f>
        <v/>
      </c>
      <c r="L47" s="10"/>
      <c r="M47" s="10"/>
      <c r="N47" s="1"/>
      <c r="O47" s="1"/>
    </row>
    <row r="48" customFormat="false" ht="15" hidden="false" customHeight="false" outlineLevel="0" collapsed="false">
      <c r="A48" s="1"/>
      <c r="B48" s="13" t="str">
        <f aca="false">IF(D48="","","P-"&amp;TEXT(ROW()-6,"000"))</f>
        <v/>
      </c>
      <c r="C48" s="15"/>
      <c r="D48" s="15"/>
      <c r="E48" s="15"/>
      <c r="F48" s="19"/>
      <c r="G48" s="16"/>
      <c r="H48" s="15"/>
      <c r="I48" s="17" t="str">
        <f aca="false">IF(H48="","",IF(H48&lt;10,"Sí","No"))</f>
        <v/>
      </c>
      <c r="J48" s="15"/>
      <c r="K48" s="17" t="str">
        <f aca="false">IF(B48="","",COUNTIFS(Competencia!$B$7:$B$406,B48,Competencia!$G$7:$G$406,"Sí"))</f>
        <v/>
      </c>
      <c r="L48" s="15"/>
      <c r="M48" s="15"/>
      <c r="N48" s="1"/>
      <c r="O48" s="1"/>
    </row>
    <row r="49" customFormat="false" ht="15" hidden="false" customHeight="false" outlineLevel="0" collapsed="false">
      <c r="A49" s="1"/>
      <c r="B49" s="8" t="str">
        <f aca="false">IF(D49="","","P-"&amp;TEXT(ROW()-6,"000"))</f>
        <v/>
      </c>
      <c r="C49" s="10"/>
      <c r="D49" s="10"/>
      <c r="E49" s="10"/>
      <c r="F49" s="18"/>
      <c r="G49" s="11"/>
      <c r="H49" s="10"/>
      <c r="I49" s="12" t="str">
        <f aca="false">IF(H49="","",IF(H49&lt;10,"Sí","No"))</f>
        <v/>
      </c>
      <c r="J49" s="10"/>
      <c r="K49" s="12" t="str">
        <f aca="false">IF(B49="","",COUNTIFS(Competencia!$B$7:$B$406,B49,Competencia!$G$7:$G$406,"Sí"))</f>
        <v/>
      </c>
      <c r="L49" s="10"/>
      <c r="M49" s="10"/>
      <c r="N49" s="1"/>
      <c r="O49" s="1"/>
    </row>
    <row r="50" customFormat="false" ht="15" hidden="false" customHeight="false" outlineLevel="0" collapsed="false">
      <c r="A50" s="1"/>
      <c r="B50" s="13" t="str">
        <f aca="false">IF(D50="","","P-"&amp;TEXT(ROW()-6,"000"))</f>
        <v/>
      </c>
      <c r="C50" s="15"/>
      <c r="D50" s="15"/>
      <c r="E50" s="15"/>
      <c r="F50" s="19"/>
      <c r="G50" s="16"/>
      <c r="H50" s="15"/>
      <c r="I50" s="17" t="str">
        <f aca="false">IF(H50="","",IF(H50&lt;10,"Sí","No"))</f>
        <v/>
      </c>
      <c r="J50" s="15"/>
      <c r="K50" s="17" t="str">
        <f aca="false">IF(B50="","",COUNTIFS(Competencia!$B$7:$B$406,B50,Competencia!$G$7:$G$406,"Sí"))</f>
        <v/>
      </c>
      <c r="L50" s="15"/>
      <c r="M50" s="15"/>
      <c r="N50" s="1"/>
      <c r="O50" s="1"/>
    </row>
    <row r="51" customFormat="false" ht="15" hidden="false" customHeight="false" outlineLevel="0" collapsed="false">
      <c r="A51" s="1"/>
      <c r="B51" s="8" t="str">
        <f aca="false">IF(D51="","","P-"&amp;TEXT(ROW()-6,"000"))</f>
        <v/>
      </c>
      <c r="C51" s="10"/>
      <c r="D51" s="10"/>
      <c r="E51" s="10"/>
      <c r="F51" s="18"/>
      <c r="G51" s="11"/>
      <c r="H51" s="10"/>
      <c r="I51" s="12" t="str">
        <f aca="false">IF(H51="","",IF(H51&lt;10,"Sí","No"))</f>
        <v/>
      </c>
      <c r="J51" s="10"/>
      <c r="K51" s="12" t="str">
        <f aca="false">IF(B51="","",COUNTIFS(Competencia!$B$7:$B$406,B51,Competencia!$G$7:$G$406,"Sí"))</f>
        <v/>
      </c>
      <c r="L51" s="10"/>
      <c r="M51" s="10"/>
      <c r="N51" s="1"/>
      <c r="O51" s="1"/>
    </row>
    <row r="52" customFormat="false" ht="15" hidden="false" customHeight="false" outlineLevel="0" collapsed="false">
      <c r="A52" s="1"/>
      <c r="B52" s="13" t="str">
        <f aca="false">IF(D52="","","P-"&amp;TEXT(ROW()-6,"000"))</f>
        <v/>
      </c>
      <c r="C52" s="15"/>
      <c r="D52" s="15"/>
      <c r="E52" s="15"/>
      <c r="F52" s="19"/>
      <c r="G52" s="16"/>
      <c r="H52" s="15"/>
      <c r="I52" s="17" t="str">
        <f aca="false">IF(H52="","",IF(H52&lt;10,"Sí","No"))</f>
        <v/>
      </c>
      <c r="J52" s="15"/>
      <c r="K52" s="17" t="str">
        <f aca="false">IF(B52="","",COUNTIFS(Competencia!$B$7:$B$406,B52,Competencia!$G$7:$G$406,"Sí"))</f>
        <v/>
      </c>
      <c r="L52" s="15"/>
      <c r="M52" s="15"/>
      <c r="N52" s="1"/>
      <c r="O52" s="1"/>
    </row>
    <row r="53" customFormat="false" ht="15" hidden="false" customHeight="false" outlineLevel="0" collapsed="false">
      <c r="A53" s="1"/>
      <c r="B53" s="8" t="str">
        <f aca="false">IF(D53="","","P-"&amp;TEXT(ROW()-6,"000"))</f>
        <v/>
      </c>
      <c r="C53" s="10"/>
      <c r="D53" s="10"/>
      <c r="E53" s="10"/>
      <c r="F53" s="18"/>
      <c r="G53" s="11"/>
      <c r="H53" s="10"/>
      <c r="I53" s="12" t="str">
        <f aca="false">IF(H53="","",IF(H53&lt;10,"Sí","No"))</f>
        <v/>
      </c>
      <c r="J53" s="10"/>
      <c r="K53" s="12" t="str">
        <f aca="false">IF(B53="","",COUNTIFS(Competencia!$B$7:$B$406,B53,Competencia!$G$7:$G$406,"Sí"))</f>
        <v/>
      </c>
      <c r="L53" s="10"/>
      <c r="M53" s="10"/>
      <c r="N53" s="1"/>
      <c r="O53" s="1"/>
    </row>
    <row r="54" customFormat="false" ht="15" hidden="false" customHeight="false" outlineLevel="0" collapsed="false">
      <c r="A54" s="1"/>
      <c r="B54" s="13" t="str">
        <f aca="false">IF(D54="","","P-"&amp;TEXT(ROW()-6,"000"))</f>
        <v/>
      </c>
      <c r="C54" s="15"/>
      <c r="D54" s="15"/>
      <c r="E54" s="15"/>
      <c r="F54" s="19"/>
      <c r="G54" s="16"/>
      <c r="H54" s="15"/>
      <c r="I54" s="17" t="str">
        <f aca="false">IF(H54="","",IF(H54&lt;10,"Sí","No"))</f>
        <v/>
      </c>
      <c r="J54" s="15"/>
      <c r="K54" s="17" t="str">
        <f aca="false">IF(B54="","",COUNTIFS(Competencia!$B$7:$B$406,B54,Competencia!$G$7:$G$406,"Sí"))</f>
        <v/>
      </c>
      <c r="L54" s="15"/>
      <c r="M54" s="15"/>
      <c r="N54" s="1"/>
      <c r="O54" s="1"/>
    </row>
    <row r="55" customFormat="false" ht="15" hidden="false" customHeight="false" outlineLevel="0" collapsed="false">
      <c r="A55" s="1"/>
      <c r="B55" s="8" t="str">
        <f aca="false">IF(D55="","","P-"&amp;TEXT(ROW()-6,"000"))</f>
        <v/>
      </c>
      <c r="C55" s="10"/>
      <c r="D55" s="10"/>
      <c r="E55" s="10"/>
      <c r="F55" s="18"/>
      <c r="G55" s="11"/>
      <c r="H55" s="10"/>
      <c r="I55" s="12" t="str">
        <f aca="false">IF(H55="","",IF(H55&lt;10,"Sí","No"))</f>
        <v/>
      </c>
      <c r="J55" s="10"/>
      <c r="K55" s="12" t="str">
        <f aca="false">IF(B55="","",COUNTIFS(Competencia!$B$7:$B$406,B55,Competencia!$G$7:$G$406,"Sí"))</f>
        <v/>
      </c>
      <c r="L55" s="10"/>
      <c r="M55" s="10"/>
      <c r="N55" s="1"/>
      <c r="O55" s="1"/>
    </row>
    <row r="56" customFormat="false" ht="15" hidden="false" customHeight="false" outlineLevel="0" collapsed="false">
      <c r="A56" s="1"/>
      <c r="B56" s="13" t="str">
        <f aca="false">IF(D56="","","P-"&amp;TEXT(ROW()-6,"000"))</f>
        <v/>
      </c>
      <c r="C56" s="15"/>
      <c r="D56" s="15"/>
      <c r="E56" s="15"/>
      <c r="F56" s="19"/>
      <c r="G56" s="16"/>
      <c r="H56" s="15"/>
      <c r="I56" s="17" t="str">
        <f aca="false">IF(H56="","",IF(H56&lt;10,"Sí","No"))</f>
        <v/>
      </c>
      <c r="J56" s="15"/>
      <c r="K56" s="17" t="str">
        <f aca="false">IF(B56="","",COUNTIFS(Competencia!$B$7:$B$406,B56,Competencia!$G$7:$G$406,"Sí"))</f>
        <v/>
      </c>
      <c r="L56" s="15"/>
      <c r="M56" s="15"/>
      <c r="N56" s="1"/>
      <c r="O56" s="1"/>
    </row>
    <row r="57" customFormat="false" ht="15" hidden="false" customHeight="false" outlineLevel="0" collapsed="false">
      <c r="A57" s="1"/>
      <c r="B57" s="8" t="str">
        <f aca="false">IF(D57="","","P-"&amp;TEXT(ROW()-6,"000"))</f>
        <v/>
      </c>
      <c r="C57" s="10"/>
      <c r="D57" s="10"/>
      <c r="E57" s="10"/>
      <c r="F57" s="18"/>
      <c r="G57" s="11"/>
      <c r="H57" s="10"/>
      <c r="I57" s="12" t="str">
        <f aca="false">IF(H57="","",IF(H57&lt;10,"Sí","No"))</f>
        <v/>
      </c>
      <c r="J57" s="10"/>
      <c r="K57" s="12" t="str">
        <f aca="false">IF(B57="","",COUNTIFS(Competencia!$B$7:$B$406,B57,Competencia!$G$7:$G$406,"Sí"))</f>
        <v/>
      </c>
      <c r="L57" s="10"/>
      <c r="M57" s="10"/>
      <c r="N57" s="1"/>
      <c r="O57" s="1"/>
    </row>
    <row r="58" customFormat="false" ht="15" hidden="false" customHeight="false" outlineLevel="0" collapsed="false">
      <c r="A58" s="1"/>
      <c r="B58" s="13" t="str">
        <f aca="false">IF(D58="","","P-"&amp;TEXT(ROW()-6,"000"))</f>
        <v/>
      </c>
      <c r="C58" s="15"/>
      <c r="D58" s="15"/>
      <c r="E58" s="15"/>
      <c r="F58" s="19"/>
      <c r="G58" s="16"/>
      <c r="H58" s="15"/>
      <c r="I58" s="17" t="str">
        <f aca="false">IF(H58="","",IF(H58&lt;10,"Sí","No"))</f>
        <v/>
      </c>
      <c r="J58" s="15"/>
      <c r="K58" s="17" t="str">
        <f aca="false">IF(B58="","",COUNTIFS(Competencia!$B$7:$B$406,B58,Competencia!$G$7:$G$406,"Sí"))</f>
        <v/>
      </c>
      <c r="L58" s="15"/>
      <c r="M58" s="15"/>
      <c r="N58" s="1"/>
      <c r="O58" s="1"/>
    </row>
    <row r="59" customFormat="false" ht="15" hidden="false" customHeight="false" outlineLevel="0" collapsed="false">
      <c r="A59" s="1"/>
      <c r="B59" s="8" t="str">
        <f aca="false">IF(D59="","","P-"&amp;TEXT(ROW()-6,"000"))</f>
        <v/>
      </c>
      <c r="C59" s="10"/>
      <c r="D59" s="10"/>
      <c r="E59" s="10"/>
      <c r="F59" s="18"/>
      <c r="G59" s="11"/>
      <c r="H59" s="10"/>
      <c r="I59" s="12" t="str">
        <f aca="false">IF(H59="","",IF(H59&lt;10,"Sí","No"))</f>
        <v/>
      </c>
      <c r="J59" s="10"/>
      <c r="K59" s="12" t="str">
        <f aca="false">IF(B59="","",COUNTIFS(Competencia!$B$7:$B$406,B59,Competencia!$G$7:$G$406,"Sí"))</f>
        <v/>
      </c>
      <c r="L59" s="10"/>
      <c r="M59" s="10"/>
      <c r="N59" s="1"/>
      <c r="O59" s="1"/>
    </row>
    <row r="60" customFormat="false" ht="15" hidden="false" customHeight="false" outlineLevel="0" collapsed="false">
      <c r="A60" s="1"/>
      <c r="B60" s="13" t="str">
        <f aca="false">IF(D60="","","P-"&amp;TEXT(ROW()-6,"000"))</f>
        <v/>
      </c>
      <c r="C60" s="15"/>
      <c r="D60" s="15"/>
      <c r="E60" s="15"/>
      <c r="F60" s="19"/>
      <c r="G60" s="16"/>
      <c r="H60" s="15"/>
      <c r="I60" s="17" t="str">
        <f aca="false">IF(H60="","",IF(H60&lt;10,"Sí","No"))</f>
        <v/>
      </c>
      <c r="J60" s="15"/>
      <c r="K60" s="17" t="str">
        <f aca="false">IF(B60="","",COUNTIFS(Competencia!$B$7:$B$406,B60,Competencia!$G$7:$G$406,"Sí"))</f>
        <v/>
      </c>
      <c r="L60" s="15"/>
      <c r="M60" s="15"/>
      <c r="N60" s="1"/>
      <c r="O60" s="1"/>
    </row>
    <row r="61" customFormat="false" ht="15" hidden="false" customHeight="false" outlineLevel="0" collapsed="false">
      <c r="A61" s="1"/>
      <c r="B61" s="8" t="str">
        <f aca="false">IF(D61="","","P-"&amp;TEXT(ROW()-6,"000"))</f>
        <v/>
      </c>
      <c r="C61" s="10"/>
      <c r="D61" s="10"/>
      <c r="E61" s="10"/>
      <c r="F61" s="18"/>
      <c r="G61" s="11"/>
      <c r="H61" s="10"/>
      <c r="I61" s="12" t="str">
        <f aca="false">IF(H61="","",IF(H61&lt;10,"Sí","No"))</f>
        <v/>
      </c>
      <c r="J61" s="10"/>
      <c r="K61" s="12" t="str">
        <f aca="false">IF(B61="","",COUNTIFS(Competencia!$B$7:$B$406,B61,Competencia!$G$7:$G$406,"Sí"))</f>
        <v/>
      </c>
      <c r="L61" s="10"/>
      <c r="M61" s="10"/>
      <c r="N61" s="1"/>
      <c r="O61" s="1"/>
    </row>
    <row r="62" customFormat="false" ht="15" hidden="false" customHeight="false" outlineLevel="0" collapsed="false">
      <c r="A62" s="1"/>
      <c r="B62" s="13" t="str">
        <f aca="false">IF(D62="","","P-"&amp;TEXT(ROW()-6,"000"))</f>
        <v/>
      </c>
      <c r="C62" s="15"/>
      <c r="D62" s="15"/>
      <c r="E62" s="15"/>
      <c r="F62" s="19"/>
      <c r="G62" s="16"/>
      <c r="H62" s="15"/>
      <c r="I62" s="17" t="str">
        <f aca="false">IF(H62="","",IF(H62&lt;10,"Sí","No"))</f>
        <v/>
      </c>
      <c r="J62" s="15"/>
      <c r="K62" s="17" t="str">
        <f aca="false">IF(B62="","",COUNTIFS(Competencia!$B$7:$B$406,B62,Competencia!$G$7:$G$406,"Sí"))</f>
        <v/>
      </c>
      <c r="L62" s="15"/>
      <c r="M62" s="15"/>
      <c r="N62" s="1"/>
      <c r="O62" s="1"/>
    </row>
    <row r="63" customFormat="false" ht="15" hidden="false" customHeight="false" outlineLevel="0" collapsed="false">
      <c r="A63" s="1"/>
      <c r="B63" s="8" t="str">
        <f aca="false">IF(D63="","","P-"&amp;TEXT(ROW()-6,"000"))</f>
        <v/>
      </c>
      <c r="C63" s="10"/>
      <c r="D63" s="10"/>
      <c r="E63" s="10"/>
      <c r="F63" s="18"/>
      <c r="G63" s="11"/>
      <c r="H63" s="10"/>
      <c r="I63" s="12" t="str">
        <f aca="false">IF(H63="","",IF(H63&lt;10,"Sí","No"))</f>
        <v/>
      </c>
      <c r="J63" s="10"/>
      <c r="K63" s="12" t="str">
        <f aca="false">IF(B63="","",COUNTIFS(Competencia!$B$7:$B$406,B63,Competencia!$G$7:$G$406,"Sí"))</f>
        <v/>
      </c>
      <c r="L63" s="10"/>
      <c r="M63" s="10"/>
      <c r="N63" s="1"/>
      <c r="O63" s="1"/>
    </row>
    <row r="64" customFormat="false" ht="15" hidden="false" customHeight="false" outlineLevel="0" collapsed="false">
      <c r="A64" s="1"/>
      <c r="B64" s="13" t="str">
        <f aca="false">IF(D64="","","P-"&amp;TEXT(ROW()-6,"000"))</f>
        <v/>
      </c>
      <c r="C64" s="15"/>
      <c r="D64" s="15"/>
      <c r="E64" s="15"/>
      <c r="F64" s="19"/>
      <c r="G64" s="16"/>
      <c r="H64" s="15"/>
      <c r="I64" s="17" t="str">
        <f aca="false">IF(H64="","",IF(H64&lt;10,"Sí","No"))</f>
        <v/>
      </c>
      <c r="J64" s="15"/>
      <c r="K64" s="17" t="str">
        <f aca="false">IF(B64="","",COUNTIFS(Competencia!$B$7:$B$406,B64,Competencia!$G$7:$G$406,"Sí"))</f>
        <v/>
      </c>
      <c r="L64" s="15"/>
      <c r="M64" s="15"/>
      <c r="N64" s="1"/>
      <c r="O64" s="1"/>
    </row>
    <row r="65" customFormat="false" ht="15" hidden="false" customHeight="false" outlineLevel="0" collapsed="false">
      <c r="A65" s="1"/>
      <c r="B65" s="8" t="str">
        <f aca="false">IF(D65="","","P-"&amp;TEXT(ROW()-6,"000"))</f>
        <v/>
      </c>
      <c r="C65" s="10"/>
      <c r="D65" s="10"/>
      <c r="E65" s="10"/>
      <c r="F65" s="18"/>
      <c r="G65" s="11"/>
      <c r="H65" s="10"/>
      <c r="I65" s="12" t="str">
        <f aca="false">IF(H65="","",IF(H65&lt;10,"Sí","No"))</f>
        <v/>
      </c>
      <c r="J65" s="10"/>
      <c r="K65" s="12" t="str">
        <f aca="false">IF(B65="","",COUNTIFS(Competencia!$B$7:$B$406,B65,Competencia!$G$7:$G$406,"Sí"))</f>
        <v/>
      </c>
      <c r="L65" s="10"/>
      <c r="M65" s="10"/>
      <c r="N65" s="1"/>
      <c r="O65" s="1"/>
    </row>
    <row r="66" customFormat="false" ht="15" hidden="false" customHeight="false" outlineLevel="0" collapsed="false">
      <c r="A66" s="1"/>
      <c r="B66" s="13" t="str">
        <f aca="false">IF(D66="","","P-"&amp;TEXT(ROW()-6,"000"))</f>
        <v/>
      </c>
      <c r="C66" s="15"/>
      <c r="D66" s="15"/>
      <c r="E66" s="15"/>
      <c r="F66" s="19"/>
      <c r="G66" s="16"/>
      <c r="H66" s="15"/>
      <c r="I66" s="17" t="str">
        <f aca="false">IF(H66="","",IF(H66&lt;10,"Sí","No"))</f>
        <v/>
      </c>
      <c r="J66" s="15"/>
      <c r="K66" s="17" t="str">
        <f aca="false">IF(B66="","",COUNTIFS(Competencia!$B$7:$B$406,B66,Competencia!$G$7:$G$406,"Sí"))</f>
        <v/>
      </c>
      <c r="L66" s="15"/>
      <c r="M66" s="15"/>
      <c r="N66" s="1"/>
      <c r="O66" s="1"/>
    </row>
    <row r="67" customFormat="false" ht="15" hidden="false" customHeight="false" outlineLevel="0" collapsed="false">
      <c r="A67" s="1"/>
      <c r="B67" s="8" t="str">
        <f aca="false">IF(D67="","","P-"&amp;TEXT(ROW()-6,"000"))</f>
        <v/>
      </c>
      <c r="C67" s="10"/>
      <c r="D67" s="10"/>
      <c r="E67" s="10"/>
      <c r="F67" s="18"/>
      <c r="G67" s="11"/>
      <c r="H67" s="10"/>
      <c r="I67" s="12" t="str">
        <f aca="false">IF(H67="","",IF(H67&lt;10,"Sí","No"))</f>
        <v/>
      </c>
      <c r="J67" s="10"/>
      <c r="K67" s="12" t="str">
        <f aca="false">IF(B67="","",COUNTIFS(Competencia!$B$7:$B$406,B67,Competencia!$G$7:$G$406,"Sí"))</f>
        <v/>
      </c>
      <c r="L67" s="10"/>
      <c r="M67" s="10"/>
      <c r="N67" s="1"/>
      <c r="O67" s="1"/>
    </row>
    <row r="68" customFormat="false" ht="15" hidden="false" customHeight="false" outlineLevel="0" collapsed="false">
      <c r="A68" s="1"/>
      <c r="B68" s="13" t="str">
        <f aca="false">IF(D68="","","P-"&amp;TEXT(ROW()-6,"000"))</f>
        <v/>
      </c>
      <c r="C68" s="15"/>
      <c r="D68" s="15"/>
      <c r="E68" s="15"/>
      <c r="F68" s="19"/>
      <c r="G68" s="16"/>
      <c r="H68" s="15"/>
      <c r="I68" s="17" t="str">
        <f aca="false">IF(H68="","",IF(H68&lt;10,"Sí","No"))</f>
        <v/>
      </c>
      <c r="J68" s="15"/>
      <c r="K68" s="17" t="str">
        <f aca="false">IF(B68="","",COUNTIFS(Competencia!$B$7:$B$406,B68,Competencia!$G$7:$G$406,"Sí"))</f>
        <v/>
      </c>
      <c r="L68" s="15"/>
      <c r="M68" s="15"/>
      <c r="N68" s="1"/>
      <c r="O68" s="1"/>
    </row>
    <row r="69" customFormat="false" ht="15" hidden="false" customHeight="false" outlineLevel="0" collapsed="false">
      <c r="A69" s="1"/>
      <c r="B69" s="8" t="str">
        <f aca="false">IF(D69="","","P-"&amp;TEXT(ROW()-6,"000"))</f>
        <v/>
      </c>
      <c r="C69" s="10"/>
      <c r="D69" s="10"/>
      <c r="E69" s="10"/>
      <c r="F69" s="18"/>
      <c r="G69" s="11"/>
      <c r="H69" s="10"/>
      <c r="I69" s="12" t="str">
        <f aca="false">IF(H69="","",IF(H69&lt;10,"Sí","No"))</f>
        <v/>
      </c>
      <c r="J69" s="10"/>
      <c r="K69" s="12" t="str">
        <f aca="false">IF(B69="","",COUNTIFS(Competencia!$B$7:$B$406,B69,Competencia!$G$7:$G$406,"Sí"))</f>
        <v/>
      </c>
      <c r="L69" s="10"/>
      <c r="M69" s="10"/>
      <c r="N69" s="1"/>
      <c r="O69" s="1"/>
    </row>
    <row r="70" customFormat="false" ht="15" hidden="false" customHeight="false" outlineLevel="0" collapsed="false">
      <c r="A70" s="1"/>
      <c r="B70" s="13" t="str">
        <f aca="false">IF(D70="","","P-"&amp;TEXT(ROW()-6,"000"))</f>
        <v/>
      </c>
      <c r="C70" s="15"/>
      <c r="D70" s="15"/>
      <c r="E70" s="15"/>
      <c r="F70" s="19"/>
      <c r="G70" s="16"/>
      <c r="H70" s="15"/>
      <c r="I70" s="17" t="str">
        <f aca="false">IF(H70="","",IF(H70&lt;10,"Sí","No"))</f>
        <v/>
      </c>
      <c r="J70" s="15"/>
      <c r="K70" s="17" t="str">
        <f aca="false">IF(B70="","",COUNTIFS(Competencia!$B$7:$B$406,B70,Competencia!$G$7:$G$406,"Sí"))</f>
        <v/>
      </c>
      <c r="L70" s="15"/>
      <c r="M70" s="15"/>
      <c r="N70" s="1"/>
      <c r="O70" s="1"/>
    </row>
    <row r="71" customFormat="false" ht="15" hidden="false" customHeight="false" outlineLevel="0" collapsed="false">
      <c r="A71" s="1"/>
      <c r="B71" s="8" t="str">
        <f aca="false">IF(D71="","","P-"&amp;TEXT(ROW()-6,"000"))</f>
        <v/>
      </c>
      <c r="C71" s="10"/>
      <c r="D71" s="10"/>
      <c r="E71" s="10"/>
      <c r="F71" s="18"/>
      <c r="G71" s="11"/>
      <c r="H71" s="10"/>
      <c r="I71" s="12" t="str">
        <f aca="false">IF(H71="","",IF(H71&lt;10,"Sí","No"))</f>
        <v/>
      </c>
      <c r="J71" s="10"/>
      <c r="K71" s="12" t="str">
        <f aca="false">IF(B71="","",COUNTIFS(Competencia!$B$7:$B$406,B71,Competencia!$G$7:$G$406,"Sí"))</f>
        <v/>
      </c>
      <c r="L71" s="10"/>
      <c r="M71" s="10"/>
      <c r="N71" s="1"/>
      <c r="O71" s="1"/>
    </row>
    <row r="72" customFormat="false" ht="15" hidden="false" customHeight="false" outlineLevel="0" collapsed="false">
      <c r="A72" s="1"/>
      <c r="B72" s="13" t="str">
        <f aca="false">IF(D72="","","P-"&amp;TEXT(ROW()-6,"000"))</f>
        <v/>
      </c>
      <c r="C72" s="15"/>
      <c r="D72" s="15"/>
      <c r="E72" s="15"/>
      <c r="F72" s="19"/>
      <c r="G72" s="16"/>
      <c r="H72" s="15"/>
      <c r="I72" s="17" t="str">
        <f aca="false">IF(H72="","",IF(H72&lt;10,"Sí","No"))</f>
        <v/>
      </c>
      <c r="J72" s="15"/>
      <c r="K72" s="17" t="str">
        <f aca="false">IF(B72="","",COUNTIFS(Competencia!$B$7:$B$406,B72,Competencia!$G$7:$G$406,"Sí"))</f>
        <v/>
      </c>
      <c r="L72" s="15"/>
      <c r="M72" s="15"/>
      <c r="N72" s="1"/>
      <c r="O72" s="1"/>
    </row>
    <row r="73" customFormat="false" ht="15" hidden="false" customHeight="false" outlineLevel="0" collapsed="false">
      <c r="A73" s="1"/>
      <c r="B73" s="8" t="str">
        <f aca="false">IF(D73="","","P-"&amp;TEXT(ROW()-6,"000"))</f>
        <v/>
      </c>
      <c r="C73" s="10"/>
      <c r="D73" s="10"/>
      <c r="E73" s="10"/>
      <c r="F73" s="18"/>
      <c r="G73" s="11"/>
      <c r="H73" s="10"/>
      <c r="I73" s="12" t="str">
        <f aca="false">IF(H73="","",IF(H73&lt;10,"Sí","No"))</f>
        <v/>
      </c>
      <c r="J73" s="10"/>
      <c r="K73" s="12" t="str">
        <f aca="false">IF(B73="","",COUNTIFS(Competencia!$B$7:$B$406,B73,Competencia!$G$7:$G$406,"Sí"))</f>
        <v/>
      </c>
      <c r="L73" s="10"/>
      <c r="M73" s="10"/>
      <c r="N73" s="1"/>
      <c r="O73" s="1"/>
    </row>
    <row r="74" customFormat="false" ht="15" hidden="false" customHeight="false" outlineLevel="0" collapsed="false">
      <c r="A74" s="1"/>
      <c r="B74" s="13" t="str">
        <f aca="false">IF(D74="","","P-"&amp;TEXT(ROW()-6,"000"))</f>
        <v/>
      </c>
      <c r="C74" s="15"/>
      <c r="D74" s="15"/>
      <c r="E74" s="15"/>
      <c r="F74" s="19"/>
      <c r="G74" s="16"/>
      <c r="H74" s="15"/>
      <c r="I74" s="17" t="str">
        <f aca="false">IF(H74="","",IF(H74&lt;10,"Sí","No"))</f>
        <v/>
      </c>
      <c r="J74" s="15"/>
      <c r="K74" s="17" t="str">
        <f aca="false">IF(B74="","",COUNTIFS(Competencia!$B$7:$B$406,B74,Competencia!$G$7:$G$406,"Sí"))</f>
        <v/>
      </c>
      <c r="L74" s="15"/>
      <c r="M74" s="15"/>
      <c r="N74" s="1"/>
      <c r="O74" s="1"/>
    </row>
    <row r="75" customFormat="false" ht="15" hidden="false" customHeight="false" outlineLevel="0" collapsed="false">
      <c r="A75" s="1"/>
      <c r="B75" s="8" t="str">
        <f aca="false">IF(D75="","","P-"&amp;TEXT(ROW()-6,"000"))</f>
        <v/>
      </c>
      <c r="C75" s="10"/>
      <c r="D75" s="10"/>
      <c r="E75" s="10"/>
      <c r="F75" s="18"/>
      <c r="G75" s="11"/>
      <c r="H75" s="10"/>
      <c r="I75" s="12" t="str">
        <f aca="false">IF(H75="","",IF(H75&lt;10,"Sí","No"))</f>
        <v/>
      </c>
      <c r="J75" s="10"/>
      <c r="K75" s="12" t="str">
        <f aca="false">IF(B75="","",COUNTIFS(Competencia!$B$7:$B$406,B75,Competencia!$G$7:$G$406,"Sí"))</f>
        <v/>
      </c>
      <c r="L75" s="10"/>
      <c r="M75" s="10"/>
      <c r="N75" s="1"/>
      <c r="O75" s="1"/>
    </row>
    <row r="76" customFormat="false" ht="15" hidden="false" customHeight="false" outlineLevel="0" collapsed="false">
      <c r="A76" s="1"/>
      <c r="B76" s="13" t="str">
        <f aca="false">IF(D76="","","P-"&amp;TEXT(ROW()-6,"000"))</f>
        <v/>
      </c>
      <c r="C76" s="15"/>
      <c r="D76" s="15"/>
      <c r="E76" s="15"/>
      <c r="F76" s="19"/>
      <c r="G76" s="16"/>
      <c r="H76" s="15"/>
      <c r="I76" s="17" t="str">
        <f aca="false">IF(H76="","",IF(H76&lt;10,"Sí","No"))</f>
        <v/>
      </c>
      <c r="J76" s="15"/>
      <c r="K76" s="17" t="str">
        <f aca="false">IF(B76="","",COUNTIFS(Competencia!$B$7:$B$406,B76,Competencia!$G$7:$G$406,"Sí"))</f>
        <v/>
      </c>
      <c r="L76" s="15"/>
      <c r="M76" s="15"/>
      <c r="N76" s="1"/>
      <c r="O76" s="1"/>
    </row>
    <row r="77" customFormat="false" ht="15" hidden="false" customHeight="false" outlineLevel="0" collapsed="false">
      <c r="A77" s="1"/>
      <c r="B77" s="8" t="str">
        <f aca="false">IF(D77="","","P-"&amp;TEXT(ROW()-6,"000"))</f>
        <v/>
      </c>
      <c r="C77" s="10"/>
      <c r="D77" s="10"/>
      <c r="E77" s="10"/>
      <c r="F77" s="18"/>
      <c r="G77" s="11"/>
      <c r="H77" s="10"/>
      <c r="I77" s="12" t="str">
        <f aca="false">IF(H77="","",IF(H77&lt;10,"Sí","No"))</f>
        <v/>
      </c>
      <c r="J77" s="10"/>
      <c r="K77" s="12" t="str">
        <f aca="false">IF(B77="","",COUNTIFS(Competencia!$B$7:$B$406,B77,Competencia!$G$7:$G$406,"Sí"))</f>
        <v/>
      </c>
      <c r="L77" s="10"/>
      <c r="M77" s="10"/>
      <c r="N77" s="1"/>
      <c r="O77" s="1"/>
    </row>
    <row r="78" customFormat="false" ht="15" hidden="false" customHeight="false" outlineLevel="0" collapsed="false">
      <c r="A78" s="1"/>
      <c r="B78" s="13" t="str">
        <f aca="false">IF(D78="","","P-"&amp;TEXT(ROW()-6,"000"))</f>
        <v/>
      </c>
      <c r="C78" s="15"/>
      <c r="D78" s="15"/>
      <c r="E78" s="15"/>
      <c r="F78" s="19"/>
      <c r="G78" s="16"/>
      <c r="H78" s="15"/>
      <c r="I78" s="17" t="str">
        <f aca="false">IF(H78="","",IF(H78&lt;10,"Sí","No"))</f>
        <v/>
      </c>
      <c r="J78" s="15"/>
      <c r="K78" s="17" t="str">
        <f aca="false">IF(B78="","",COUNTIFS(Competencia!$B$7:$B$406,B78,Competencia!$G$7:$G$406,"Sí"))</f>
        <v/>
      </c>
      <c r="L78" s="15"/>
      <c r="M78" s="15"/>
      <c r="N78" s="1"/>
      <c r="O78" s="1"/>
    </row>
    <row r="79" customFormat="false" ht="15" hidden="false" customHeight="false" outlineLevel="0" collapsed="false">
      <c r="A79" s="1"/>
      <c r="B79" s="8" t="str">
        <f aca="false">IF(D79="","","P-"&amp;TEXT(ROW()-6,"000"))</f>
        <v/>
      </c>
      <c r="C79" s="10"/>
      <c r="D79" s="10"/>
      <c r="E79" s="10"/>
      <c r="F79" s="18"/>
      <c r="G79" s="11"/>
      <c r="H79" s="10"/>
      <c r="I79" s="12" t="str">
        <f aca="false">IF(H79="","",IF(H79&lt;10,"Sí","No"))</f>
        <v/>
      </c>
      <c r="J79" s="10"/>
      <c r="K79" s="12" t="str">
        <f aca="false">IF(B79="","",COUNTIFS(Competencia!$B$7:$B$406,B79,Competencia!$G$7:$G$406,"Sí"))</f>
        <v/>
      </c>
      <c r="L79" s="10"/>
      <c r="M79" s="10"/>
      <c r="N79" s="1"/>
      <c r="O79" s="1"/>
    </row>
    <row r="80" customFormat="false" ht="15" hidden="false" customHeight="false" outlineLevel="0" collapsed="false">
      <c r="A80" s="1"/>
      <c r="B80" s="13" t="str">
        <f aca="false">IF(D80="","","P-"&amp;TEXT(ROW()-6,"000"))</f>
        <v/>
      </c>
      <c r="C80" s="15"/>
      <c r="D80" s="15"/>
      <c r="E80" s="15"/>
      <c r="F80" s="19"/>
      <c r="G80" s="16"/>
      <c r="H80" s="15"/>
      <c r="I80" s="17" t="str">
        <f aca="false">IF(H80="","",IF(H80&lt;10,"Sí","No"))</f>
        <v/>
      </c>
      <c r="J80" s="15"/>
      <c r="K80" s="17" t="str">
        <f aca="false">IF(B80="","",COUNTIFS(Competencia!$B$7:$B$406,B80,Competencia!$G$7:$G$406,"Sí"))</f>
        <v/>
      </c>
      <c r="L80" s="15"/>
      <c r="M80" s="15"/>
      <c r="N80" s="1"/>
      <c r="O80" s="1"/>
    </row>
    <row r="81" customFormat="false" ht="15" hidden="false" customHeight="false" outlineLevel="0" collapsed="false">
      <c r="A81" s="1"/>
      <c r="B81" s="8" t="str">
        <f aca="false">IF(D81="","","P-"&amp;TEXT(ROW()-6,"000"))</f>
        <v/>
      </c>
      <c r="C81" s="10"/>
      <c r="D81" s="10"/>
      <c r="E81" s="10"/>
      <c r="F81" s="18"/>
      <c r="G81" s="11"/>
      <c r="H81" s="10"/>
      <c r="I81" s="12" t="str">
        <f aca="false">IF(H81="","",IF(H81&lt;10,"Sí","No"))</f>
        <v/>
      </c>
      <c r="J81" s="10"/>
      <c r="K81" s="12" t="str">
        <f aca="false">IF(B81="","",COUNTIFS(Competencia!$B$7:$B$406,B81,Competencia!$G$7:$G$406,"Sí"))</f>
        <v/>
      </c>
      <c r="L81" s="10"/>
      <c r="M81" s="10"/>
      <c r="N81" s="1"/>
      <c r="O81" s="1"/>
    </row>
    <row r="82" customFormat="false" ht="15" hidden="false" customHeight="false" outlineLevel="0" collapsed="false">
      <c r="A82" s="1"/>
      <c r="B82" s="13" t="str">
        <f aca="false">IF(D82="","","P-"&amp;TEXT(ROW()-6,"000"))</f>
        <v/>
      </c>
      <c r="C82" s="15"/>
      <c r="D82" s="15"/>
      <c r="E82" s="15"/>
      <c r="F82" s="19"/>
      <c r="G82" s="16"/>
      <c r="H82" s="15"/>
      <c r="I82" s="17" t="str">
        <f aca="false">IF(H82="","",IF(H82&lt;10,"Sí","No"))</f>
        <v/>
      </c>
      <c r="J82" s="15"/>
      <c r="K82" s="17" t="str">
        <f aca="false">IF(B82="","",COUNTIFS(Competencia!$B$7:$B$406,B82,Competencia!$G$7:$G$406,"Sí"))</f>
        <v/>
      </c>
      <c r="L82" s="15"/>
      <c r="M82" s="15"/>
      <c r="N82" s="1"/>
      <c r="O82" s="1"/>
    </row>
    <row r="83" customFormat="false" ht="15" hidden="false" customHeight="false" outlineLevel="0" collapsed="false">
      <c r="A83" s="1"/>
      <c r="B83" s="8" t="str">
        <f aca="false">IF(D83="","","P-"&amp;TEXT(ROW()-6,"000"))</f>
        <v/>
      </c>
      <c r="C83" s="10"/>
      <c r="D83" s="10"/>
      <c r="E83" s="10"/>
      <c r="F83" s="18"/>
      <c r="G83" s="11"/>
      <c r="H83" s="10"/>
      <c r="I83" s="12" t="str">
        <f aca="false">IF(H83="","",IF(H83&lt;10,"Sí","No"))</f>
        <v/>
      </c>
      <c r="J83" s="10"/>
      <c r="K83" s="12" t="str">
        <f aca="false">IF(B83="","",COUNTIFS(Competencia!$B$7:$B$406,B83,Competencia!$G$7:$G$406,"Sí"))</f>
        <v/>
      </c>
      <c r="L83" s="10"/>
      <c r="M83" s="10"/>
      <c r="N83" s="1"/>
      <c r="O83" s="1"/>
    </row>
    <row r="84" customFormat="false" ht="15" hidden="false" customHeight="false" outlineLevel="0" collapsed="false">
      <c r="A84" s="1"/>
      <c r="B84" s="13" t="str">
        <f aca="false">IF(D84="","","P-"&amp;TEXT(ROW()-6,"000"))</f>
        <v/>
      </c>
      <c r="C84" s="15"/>
      <c r="D84" s="15"/>
      <c r="E84" s="15"/>
      <c r="F84" s="19"/>
      <c r="G84" s="16"/>
      <c r="H84" s="15"/>
      <c r="I84" s="17" t="str">
        <f aca="false">IF(H84="","",IF(H84&lt;10,"Sí","No"))</f>
        <v/>
      </c>
      <c r="J84" s="15"/>
      <c r="K84" s="17" t="str">
        <f aca="false">IF(B84="","",COUNTIFS(Competencia!$B$7:$B$406,B84,Competencia!$G$7:$G$406,"Sí"))</f>
        <v/>
      </c>
      <c r="L84" s="15"/>
      <c r="M84" s="15"/>
      <c r="N84" s="1"/>
      <c r="O84" s="1"/>
    </row>
    <row r="85" customFormat="false" ht="15" hidden="false" customHeight="false" outlineLevel="0" collapsed="false">
      <c r="A85" s="1"/>
      <c r="B85" s="8" t="str">
        <f aca="false">IF(D85="","","P-"&amp;TEXT(ROW()-6,"000"))</f>
        <v/>
      </c>
      <c r="C85" s="10"/>
      <c r="D85" s="10"/>
      <c r="E85" s="10"/>
      <c r="F85" s="18"/>
      <c r="G85" s="11"/>
      <c r="H85" s="10"/>
      <c r="I85" s="12" t="str">
        <f aca="false">IF(H85="","",IF(H85&lt;10,"Sí","No"))</f>
        <v/>
      </c>
      <c r="J85" s="10"/>
      <c r="K85" s="12" t="str">
        <f aca="false">IF(B85="","",COUNTIFS(Competencia!$B$7:$B$406,B85,Competencia!$G$7:$G$406,"Sí"))</f>
        <v/>
      </c>
      <c r="L85" s="10"/>
      <c r="M85" s="10"/>
      <c r="N85" s="1"/>
      <c r="O85" s="1"/>
    </row>
    <row r="86" customFormat="false" ht="15" hidden="false" customHeight="false" outlineLevel="0" collapsed="false">
      <c r="A86" s="1"/>
      <c r="B86" s="13" t="str">
        <f aca="false">IF(D86="","","P-"&amp;TEXT(ROW()-6,"000"))</f>
        <v/>
      </c>
      <c r="C86" s="15"/>
      <c r="D86" s="15"/>
      <c r="E86" s="15"/>
      <c r="F86" s="19"/>
      <c r="G86" s="16"/>
      <c r="H86" s="15"/>
      <c r="I86" s="17" t="str">
        <f aca="false">IF(H86="","",IF(H86&lt;10,"Sí","No"))</f>
        <v/>
      </c>
      <c r="J86" s="15"/>
      <c r="K86" s="17" t="str">
        <f aca="false">IF(B86="","",COUNTIFS(Competencia!$B$7:$B$406,B86,Competencia!$G$7:$G$406,"Sí"))</f>
        <v/>
      </c>
      <c r="L86" s="15"/>
      <c r="M86" s="15"/>
      <c r="N86" s="1"/>
      <c r="O86" s="1"/>
    </row>
    <row r="87" customFormat="false" ht="15" hidden="false" customHeight="false" outlineLevel="0" collapsed="false">
      <c r="A87" s="1"/>
      <c r="B87" s="8" t="str">
        <f aca="false">IF(D87="","","P-"&amp;TEXT(ROW()-6,"000"))</f>
        <v/>
      </c>
      <c r="C87" s="10"/>
      <c r="D87" s="10"/>
      <c r="E87" s="10"/>
      <c r="F87" s="18"/>
      <c r="G87" s="11"/>
      <c r="H87" s="10"/>
      <c r="I87" s="12" t="str">
        <f aca="false">IF(H87="","",IF(H87&lt;10,"Sí","No"))</f>
        <v/>
      </c>
      <c r="J87" s="10"/>
      <c r="K87" s="12" t="str">
        <f aca="false">IF(B87="","",COUNTIFS(Competencia!$B$7:$B$406,B87,Competencia!$G$7:$G$406,"Sí"))</f>
        <v/>
      </c>
      <c r="L87" s="10"/>
      <c r="M87" s="10"/>
      <c r="N87" s="1"/>
      <c r="O87" s="1"/>
    </row>
    <row r="88" customFormat="false" ht="15" hidden="false" customHeight="false" outlineLevel="0" collapsed="false">
      <c r="A88" s="1"/>
      <c r="B88" s="13" t="str">
        <f aca="false">IF(D88="","","P-"&amp;TEXT(ROW()-6,"000"))</f>
        <v/>
      </c>
      <c r="C88" s="15"/>
      <c r="D88" s="15"/>
      <c r="E88" s="15"/>
      <c r="F88" s="19"/>
      <c r="G88" s="16"/>
      <c r="H88" s="15"/>
      <c r="I88" s="17" t="str">
        <f aca="false">IF(H88="","",IF(H88&lt;10,"Sí","No"))</f>
        <v/>
      </c>
      <c r="J88" s="15"/>
      <c r="K88" s="17" t="str">
        <f aca="false">IF(B88="","",COUNTIFS(Competencia!$B$7:$B$406,B88,Competencia!$G$7:$G$406,"Sí"))</f>
        <v/>
      </c>
      <c r="L88" s="15"/>
      <c r="M88" s="15"/>
      <c r="N88" s="1"/>
      <c r="O88" s="1"/>
    </row>
    <row r="89" customFormat="false" ht="15" hidden="false" customHeight="false" outlineLevel="0" collapsed="false">
      <c r="A89" s="1"/>
      <c r="B89" s="8" t="str">
        <f aca="false">IF(D89="","","P-"&amp;TEXT(ROW()-6,"000"))</f>
        <v/>
      </c>
      <c r="C89" s="10"/>
      <c r="D89" s="10"/>
      <c r="E89" s="10"/>
      <c r="F89" s="18"/>
      <c r="G89" s="11"/>
      <c r="H89" s="10"/>
      <c r="I89" s="12" t="str">
        <f aca="false">IF(H89="","",IF(H89&lt;10,"Sí","No"))</f>
        <v/>
      </c>
      <c r="J89" s="10"/>
      <c r="K89" s="12" t="str">
        <f aca="false">IF(B89="","",COUNTIFS(Competencia!$B$7:$B$406,B89,Competencia!$G$7:$G$406,"Sí"))</f>
        <v/>
      </c>
      <c r="L89" s="10"/>
      <c r="M89" s="10"/>
      <c r="N89" s="1"/>
      <c r="O89" s="1"/>
    </row>
    <row r="90" customFormat="false" ht="15" hidden="false" customHeight="false" outlineLevel="0" collapsed="false">
      <c r="A90" s="1"/>
      <c r="B90" s="13" t="str">
        <f aca="false">IF(D90="","","P-"&amp;TEXT(ROW()-6,"000"))</f>
        <v/>
      </c>
      <c r="C90" s="15"/>
      <c r="D90" s="15"/>
      <c r="E90" s="15"/>
      <c r="F90" s="19"/>
      <c r="G90" s="16"/>
      <c r="H90" s="15"/>
      <c r="I90" s="17" t="str">
        <f aca="false">IF(H90="","",IF(H90&lt;10,"Sí","No"))</f>
        <v/>
      </c>
      <c r="J90" s="15"/>
      <c r="K90" s="17" t="str">
        <f aca="false">IF(B90="","",COUNTIFS(Competencia!$B$7:$B$406,B90,Competencia!$G$7:$G$406,"Sí"))</f>
        <v/>
      </c>
      <c r="L90" s="15"/>
      <c r="M90" s="15"/>
      <c r="N90" s="1"/>
      <c r="O90" s="1"/>
    </row>
    <row r="91" customFormat="false" ht="15" hidden="false" customHeight="false" outlineLevel="0" collapsed="false">
      <c r="A91" s="1"/>
      <c r="B91" s="8" t="str">
        <f aca="false">IF(D91="","","P-"&amp;TEXT(ROW()-6,"000"))</f>
        <v/>
      </c>
      <c r="C91" s="10"/>
      <c r="D91" s="10"/>
      <c r="E91" s="10"/>
      <c r="F91" s="18"/>
      <c r="G91" s="11"/>
      <c r="H91" s="10"/>
      <c r="I91" s="12" t="str">
        <f aca="false">IF(H91="","",IF(H91&lt;10,"Sí","No"))</f>
        <v/>
      </c>
      <c r="J91" s="10"/>
      <c r="K91" s="12" t="str">
        <f aca="false">IF(B91="","",COUNTIFS(Competencia!$B$7:$B$406,B91,Competencia!$G$7:$G$406,"Sí"))</f>
        <v/>
      </c>
      <c r="L91" s="10"/>
      <c r="M91" s="10"/>
      <c r="N91" s="1"/>
      <c r="O91" s="1"/>
    </row>
    <row r="92" customFormat="false" ht="15" hidden="false" customHeight="false" outlineLevel="0" collapsed="false">
      <c r="A92" s="1"/>
      <c r="B92" s="13" t="str">
        <f aca="false">IF(D92="","","P-"&amp;TEXT(ROW()-6,"000"))</f>
        <v/>
      </c>
      <c r="C92" s="15"/>
      <c r="D92" s="15"/>
      <c r="E92" s="15"/>
      <c r="F92" s="19"/>
      <c r="G92" s="16"/>
      <c r="H92" s="15"/>
      <c r="I92" s="17" t="str">
        <f aca="false">IF(H92="","",IF(H92&lt;10,"Sí","No"))</f>
        <v/>
      </c>
      <c r="J92" s="15"/>
      <c r="K92" s="17" t="str">
        <f aca="false">IF(B92="","",COUNTIFS(Competencia!$B$7:$B$406,B92,Competencia!$G$7:$G$406,"Sí"))</f>
        <v/>
      </c>
      <c r="L92" s="15"/>
      <c r="M92" s="15"/>
      <c r="N92" s="1"/>
      <c r="O92" s="1"/>
    </row>
    <row r="93" customFormat="false" ht="15" hidden="false" customHeight="false" outlineLevel="0" collapsed="false">
      <c r="A93" s="1"/>
      <c r="B93" s="8" t="str">
        <f aca="false">IF(D93="","","P-"&amp;TEXT(ROW()-6,"000"))</f>
        <v/>
      </c>
      <c r="C93" s="10"/>
      <c r="D93" s="10"/>
      <c r="E93" s="10"/>
      <c r="F93" s="18"/>
      <c r="G93" s="11"/>
      <c r="H93" s="10"/>
      <c r="I93" s="12" t="str">
        <f aca="false">IF(H93="","",IF(H93&lt;10,"Sí","No"))</f>
        <v/>
      </c>
      <c r="J93" s="10"/>
      <c r="K93" s="12" t="str">
        <f aca="false">IF(B93="","",COUNTIFS(Competencia!$B$7:$B$406,B93,Competencia!$G$7:$G$406,"Sí"))</f>
        <v/>
      </c>
      <c r="L93" s="10"/>
      <c r="M93" s="10"/>
      <c r="N93" s="1"/>
      <c r="O93" s="1"/>
    </row>
    <row r="94" customFormat="false" ht="15" hidden="false" customHeight="false" outlineLevel="0" collapsed="false">
      <c r="A94" s="1"/>
      <c r="B94" s="13" t="str">
        <f aca="false">IF(D94="","","P-"&amp;TEXT(ROW()-6,"000"))</f>
        <v/>
      </c>
      <c r="C94" s="15"/>
      <c r="D94" s="15"/>
      <c r="E94" s="15"/>
      <c r="F94" s="19"/>
      <c r="G94" s="16"/>
      <c r="H94" s="15"/>
      <c r="I94" s="17" t="str">
        <f aca="false">IF(H94="","",IF(H94&lt;10,"Sí","No"))</f>
        <v/>
      </c>
      <c r="J94" s="15"/>
      <c r="K94" s="17" t="str">
        <f aca="false">IF(B94="","",COUNTIFS(Competencia!$B$7:$B$406,B94,Competencia!$G$7:$G$406,"Sí"))</f>
        <v/>
      </c>
      <c r="L94" s="15"/>
      <c r="M94" s="15"/>
      <c r="N94" s="1"/>
      <c r="O94" s="1"/>
    </row>
    <row r="95" customFormat="false" ht="15" hidden="false" customHeight="false" outlineLevel="0" collapsed="false">
      <c r="A95" s="1"/>
      <c r="B95" s="8" t="str">
        <f aca="false">IF(D95="","","P-"&amp;TEXT(ROW()-6,"000"))</f>
        <v/>
      </c>
      <c r="C95" s="10"/>
      <c r="D95" s="10"/>
      <c r="E95" s="10"/>
      <c r="F95" s="18"/>
      <c r="G95" s="11"/>
      <c r="H95" s="10"/>
      <c r="I95" s="12" t="str">
        <f aca="false">IF(H95="","",IF(H95&lt;10,"Sí","No"))</f>
        <v/>
      </c>
      <c r="J95" s="10"/>
      <c r="K95" s="12" t="str">
        <f aca="false">IF(B95="","",COUNTIFS(Competencia!$B$7:$B$406,B95,Competencia!$G$7:$G$406,"Sí"))</f>
        <v/>
      </c>
      <c r="L95" s="10"/>
      <c r="M95" s="10"/>
      <c r="N95" s="1"/>
      <c r="O95" s="1"/>
    </row>
    <row r="96" customFormat="false" ht="15" hidden="false" customHeight="false" outlineLevel="0" collapsed="false">
      <c r="A96" s="1"/>
      <c r="B96" s="13" t="str">
        <f aca="false">IF(D96="","","P-"&amp;TEXT(ROW()-6,"000"))</f>
        <v/>
      </c>
      <c r="C96" s="15"/>
      <c r="D96" s="15"/>
      <c r="E96" s="15"/>
      <c r="F96" s="19"/>
      <c r="G96" s="16"/>
      <c r="H96" s="15"/>
      <c r="I96" s="17" t="str">
        <f aca="false">IF(H96="","",IF(H96&lt;10,"Sí","No"))</f>
        <v/>
      </c>
      <c r="J96" s="15"/>
      <c r="K96" s="17" t="str">
        <f aca="false">IF(B96="","",COUNTIFS(Competencia!$B$7:$B$406,B96,Competencia!$G$7:$G$406,"Sí"))</f>
        <v/>
      </c>
      <c r="L96" s="15"/>
      <c r="M96" s="15"/>
      <c r="N96" s="1"/>
      <c r="O96" s="1"/>
    </row>
    <row r="97" customFormat="false" ht="15" hidden="false" customHeight="false" outlineLevel="0" collapsed="false">
      <c r="A97" s="1"/>
      <c r="B97" s="8" t="str">
        <f aca="false">IF(D97="","","P-"&amp;TEXT(ROW()-6,"000"))</f>
        <v/>
      </c>
      <c r="C97" s="10"/>
      <c r="D97" s="10"/>
      <c r="E97" s="10"/>
      <c r="F97" s="18"/>
      <c r="G97" s="11"/>
      <c r="H97" s="10"/>
      <c r="I97" s="12" t="str">
        <f aca="false">IF(H97="","",IF(H97&lt;10,"Sí","No"))</f>
        <v/>
      </c>
      <c r="J97" s="10"/>
      <c r="K97" s="12" t="str">
        <f aca="false">IF(B97="","",COUNTIFS(Competencia!$B$7:$B$406,B97,Competencia!$G$7:$G$406,"Sí"))</f>
        <v/>
      </c>
      <c r="L97" s="10"/>
      <c r="M97" s="10"/>
      <c r="N97" s="1"/>
      <c r="O97" s="1"/>
    </row>
    <row r="98" customFormat="false" ht="15" hidden="false" customHeight="false" outlineLevel="0" collapsed="false">
      <c r="A98" s="1"/>
      <c r="B98" s="13" t="str">
        <f aca="false">IF(D98="","","P-"&amp;TEXT(ROW()-6,"000"))</f>
        <v/>
      </c>
      <c r="C98" s="15"/>
      <c r="D98" s="15"/>
      <c r="E98" s="15"/>
      <c r="F98" s="19"/>
      <c r="G98" s="16"/>
      <c r="H98" s="15"/>
      <c r="I98" s="17" t="str">
        <f aca="false">IF(H98="","",IF(H98&lt;10,"Sí","No"))</f>
        <v/>
      </c>
      <c r="J98" s="15"/>
      <c r="K98" s="17" t="str">
        <f aca="false">IF(B98="","",COUNTIFS(Competencia!$B$7:$B$406,B98,Competencia!$G$7:$G$406,"Sí"))</f>
        <v/>
      </c>
      <c r="L98" s="15"/>
      <c r="M98" s="15"/>
      <c r="N98" s="1"/>
      <c r="O98" s="1"/>
    </row>
    <row r="99" customFormat="false" ht="15" hidden="false" customHeight="false" outlineLevel="0" collapsed="false">
      <c r="A99" s="1"/>
      <c r="B99" s="8" t="str">
        <f aca="false">IF(D99="","","P-"&amp;TEXT(ROW()-6,"000"))</f>
        <v/>
      </c>
      <c r="C99" s="10"/>
      <c r="D99" s="10"/>
      <c r="E99" s="10"/>
      <c r="F99" s="18"/>
      <c r="G99" s="11"/>
      <c r="H99" s="10"/>
      <c r="I99" s="12" t="str">
        <f aca="false">IF(H99="","",IF(H99&lt;10,"Sí","No"))</f>
        <v/>
      </c>
      <c r="J99" s="10"/>
      <c r="K99" s="12" t="str">
        <f aca="false">IF(B99="","",COUNTIFS(Competencia!$B$7:$B$406,B99,Competencia!$G$7:$G$406,"Sí"))</f>
        <v/>
      </c>
      <c r="L99" s="10"/>
      <c r="M99" s="10"/>
      <c r="N99" s="1"/>
      <c r="O99" s="1"/>
    </row>
    <row r="100" customFormat="false" ht="15" hidden="false" customHeight="false" outlineLevel="0" collapsed="false">
      <c r="A100" s="1"/>
      <c r="B100" s="13" t="str">
        <f aca="false">IF(D100="","","P-"&amp;TEXT(ROW()-6,"000"))</f>
        <v/>
      </c>
      <c r="C100" s="15"/>
      <c r="D100" s="15"/>
      <c r="E100" s="15"/>
      <c r="F100" s="19"/>
      <c r="G100" s="16"/>
      <c r="H100" s="15"/>
      <c r="I100" s="17" t="str">
        <f aca="false">IF(H100="","",IF(H100&lt;10,"Sí","No"))</f>
        <v/>
      </c>
      <c r="J100" s="15"/>
      <c r="K100" s="17" t="str">
        <f aca="false">IF(B100="","",COUNTIFS(Competencia!$B$7:$B$406,B100,Competencia!$G$7:$G$406,"Sí"))</f>
        <v/>
      </c>
      <c r="L100" s="15"/>
      <c r="M100" s="15"/>
      <c r="N100" s="1"/>
      <c r="O100" s="1"/>
    </row>
    <row r="101" customFormat="false" ht="15" hidden="false" customHeight="false" outlineLevel="0" collapsed="false">
      <c r="A101" s="1"/>
      <c r="B101" s="8" t="str">
        <f aca="false">IF(D101="","","P-"&amp;TEXT(ROW()-6,"000"))</f>
        <v/>
      </c>
      <c r="C101" s="10"/>
      <c r="D101" s="10"/>
      <c r="E101" s="10"/>
      <c r="F101" s="18"/>
      <c r="G101" s="11"/>
      <c r="H101" s="10"/>
      <c r="I101" s="12" t="str">
        <f aca="false">IF(H101="","",IF(H101&lt;10,"Sí","No"))</f>
        <v/>
      </c>
      <c r="J101" s="10"/>
      <c r="K101" s="12" t="str">
        <f aca="false">IF(B101="","",COUNTIFS(Competencia!$B$7:$B$406,B101,Competencia!$G$7:$G$406,"Sí"))</f>
        <v/>
      </c>
      <c r="L101" s="10"/>
      <c r="M101" s="10"/>
      <c r="N101" s="1"/>
      <c r="O101" s="1"/>
    </row>
    <row r="102" customFormat="false" ht="15" hidden="false" customHeight="false" outlineLevel="0" collapsed="false">
      <c r="A102" s="1"/>
      <c r="B102" s="13" t="str">
        <f aca="false">IF(D102="","","P-"&amp;TEXT(ROW()-6,"000"))</f>
        <v/>
      </c>
      <c r="C102" s="15"/>
      <c r="D102" s="15"/>
      <c r="E102" s="15"/>
      <c r="F102" s="19"/>
      <c r="G102" s="16"/>
      <c r="H102" s="15"/>
      <c r="I102" s="17" t="str">
        <f aca="false">IF(H102="","",IF(H102&lt;10,"Sí","No"))</f>
        <v/>
      </c>
      <c r="J102" s="15"/>
      <c r="K102" s="17" t="str">
        <f aca="false">IF(B102="","",COUNTIFS(Competencia!$B$7:$B$406,B102,Competencia!$G$7:$G$406,"Sí"))</f>
        <v/>
      </c>
      <c r="L102" s="15"/>
      <c r="M102" s="15"/>
      <c r="N102" s="1"/>
      <c r="O102" s="1"/>
    </row>
    <row r="103" customFormat="false" ht="15" hidden="false" customHeight="false" outlineLevel="0" collapsed="false">
      <c r="A103" s="1"/>
      <c r="B103" s="8" t="str">
        <f aca="false">IF(D103="","","P-"&amp;TEXT(ROW()-6,"000"))</f>
        <v/>
      </c>
      <c r="C103" s="10"/>
      <c r="D103" s="10"/>
      <c r="E103" s="10"/>
      <c r="F103" s="18"/>
      <c r="G103" s="11"/>
      <c r="H103" s="10"/>
      <c r="I103" s="12" t="str">
        <f aca="false">IF(H103="","",IF(H103&lt;10,"Sí","No"))</f>
        <v/>
      </c>
      <c r="J103" s="10"/>
      <c r="K103" s="12" t="str">
        <f aca="false">IF(B103="","",COUNTIFS(Competencia!$B$7:$B$406,B103,Competencia!$G$7:$G$406,"Sí"))</f>
        <v/>
      </c>
      <c r="L103" s="10"/>
      <c r="M103" s="10"/>
      <c r="N103" s="1"/>
      <c r="O103" s="1"/>
    </row>
    <row r="104" customFormat="false" ht="15" hidden="false" customHeight="false" outlineLevel="0" collapsed="false">
      <c r="A104" s="1"/>
      <c r="B104" s="13" t="str">
        <f aca="false">IF(D104="","","P-"&amp;TEXT(ROW()-6,"000"))</f>
        <v/>
      </c>
      <c r="C104" s="15"/>
      <c r="D104" s="15"/>
      <c r="E104" s="15"/>
      <c r="F104" s="19"/>
      <c r="G104" s="16"/>
      <c r="H104" s="15"/>
      <c r="I104" s="17" t="str">
        <f aca="false">IF(H104="","",IF(H104&lt;10,"Sí","No"))</f>
        <v/>
      </c>
      <c r="J104" s="15"/>
      <c r="K104" s="17" t="str">
        <f aca="false">IF(B104="","",COUNTIFS(Competencia!$B$7:$B$406,B104,Competencia!$G$7:$G$406,"Sí"))</f>
        <v/>
      </c>
      <c r="L104" s="15"/>
      <c r="M104" s="15"/>
      <c r="N104" s="1"/>
      <c r="O104" s="1"/>
    </row>
    <row r="105" customFormat="false" ht="15" hidden="false" customHeight="false" outlineLevel="0" collapsed="false">
      <c r="A105" s="1"/>
      <c r="B105" s="8" t="str">
        <f aca="false">IF(D105="","","P-"&amp;TEXT(ROW()-6,"000"))</f>
        <v/>
      </c>
      <c r="C105" s="10"/>
      <c r="D105" s="10"/>
      <c r="E105" s="10"/>
      <c r="F105" s="18"/>
      <c r="G105" s="11"/>
      <c r="H105" s="10"/>
      <c r="I105" s="12" t="str">
        <f aca="false">IF(H105="","",IF(H105&lt;10,"Sí","No"))</f>
        <v/>
      </c>
      <c r="J105" s="10"/>
      <c r="K105" s="12" t="str">
        <f aca="false">IF(B105="","",COUNTIFS(Competencia!$B$7:$B$406,B105,Competencia!$G$7:$G$406,"Sí"))</f>
        <v/>
      </c>
      <c r="L105" s="10"/>
      <c r="M105" s="10"/>
      <c r="N105" s="1"/>
      <c r="O105" s="1"/>
    </row>
    <row r="106" customFormat="false" ht="15" hidden="false" customHeight="false" outlineLevel="0" collapsed="false">
      <c r="A106" s="1"/>
      <c r="B106" s="13" t="str">
        <f aca="false">IF(D106="","","P-"&amp;TEXT(ROW()-6,"000"))</f>
        <v/>
      </c>
      <c r="C106" s="15"/>
      <c r="D106" s="15"/>
      <c r="E106" s="15"/>
      <c r="F106" s="19"/>
      <c r="G106" s="16"/>
      <c r="H106" s="15"/>
      <c r="I106" s="17" t="str">
        <f aca="false">IF(H106="","",IF(H106&lt;10,"Sí","No"))</f>
        <v/>
      </c>
      <c r="J106" s="15"/>
      <c r="K106" s="17" t="str">
        <f aca="false">IF(B106="","",COUNTIFS(Competencia!$B$7:$B$406,B106,Competencia!$G$7:$G$406,"Sí"))</f>
        <v/>
      </c>
      <c r="L106" s="15"/>
      <c r="M106" s="15"/>
      <c r="N106" s="1"/>
      <c r="O106" s="1"/>
    </row>
    <row r="107" customFormat="false" ht="15" hidden="false" customHeight="false" outlineLevel="0" collapsed="false">
      <c r="A107" s="1"/>
      <c r="B107" s="8" t="str">
        <f aca="false">IF(D107="","","P-"&amp;TEXT(ROW()-6,"000"))</f>
        <v/>
      </c>
      <c r="C107" s="10"/>
      <c r="D107" s="10"/>
      <c r="E107" s="10"/>
      <c r="F107" s="18"/>
      <c r="G107" s="11"/>
      <c r="H107" s="10"/>
      <c r="I107" s="12" t="str">
        <f aca="false">IF(H107="","",IF(H107&lt;10,"Sí","No"))</f>
        <v/>
      </c>
      <c r="J107" s="10"/>
      <c r="K107" s="12" t="str">
        <f aca="false">IF(B107="","",COUNTIFS(Competencia!$B$7:$B$406,B107,Competencia!$G$7:$G$406,"Sí"))</f>
        <v/>
      </c>
      <c r="L107" s="10"/>
      <c r="M107" s="10"/>
      <c r="N107" s="1"/>
      <c r="O107" s="1"/>
    </row>
    <row r="108" customFormat="false" ht="15" hidden="false" customHeight="false" outlineLevel="0" collapsed="false">
      <c r="A108" s="1"/>
      <c r="B108" s="13" t="str">
        <f aca="false">IF(D108="","","P-"&amp;TEXT(ROW()-6,"000"))</f>
        <v/>
      </c>
      <c r="C108" s="15"/>
      <c r="D108" s="15"/>
      <c r="E108" s="15"/>
      <c r="F108" s="19"/>
      <c r="G108" s="16"/>
      <c r="H108" s="15"/>
      <c r="I108" s="17" t="str">
        <f aca="false">IF(H108="","",IF(H108&lt;10,"Sí","No"))</f>
        <v/>
      </c>
      <c r="J108" s="15"/>
      <c r="K108" s="17" t="str">
        <f aca="false">IF(B108="","",COUNTIFS(Competencia!$B$7:$B$406,B108,Competencia!$G$7:$G$406,"Sí"))</f>
        <v/>
      </c>
      <c r="L108" s="15"/>
      <c r="M108" s="15"/>
      <c r="N108" s="1"/>
      <c r="O108" s="1"/>
    </row>
    <row r="109" customFormat="false" ht="15" hidden="false" customHeight="false" outlineLevel="0" collapsed="false">
      <c r="A109" s="1"/>
      <c r="B109" s="8" t="str">
        <f aca="false">IF(D109="","","P-"&amp;TEXT(ROW()-6,"000"))</f>
        <v/>
      </c>
      <c r="C109" s="10"/>
      <c r="D109" s="10"/>
      <c r="E109" s="10"/>
      <c r="F109" s="18"/>
      <c r="G109" s="11"/>
      <c r="H109" s="10"/>
      <c r="I109" s="12" t="str">
        <f aca="false">IF(H109="","",IF(H109&lt;10,"Sí","No"))</f>
        <v/>
      </c>
      <c r="J109" s="10"/>
      <c r="K109" s="12" t="str">
        <f aca="false">IF(B109="","",COUNTIFS(Competencia!$B$7:$B$406,B109,Competencia!$G$7:$G$406,"Sí"))</f>
        <v/>
      </c>
      <c r="L109" s="10"/>
      <c r="M109" s="10"/>
      <c r="N109" s="1"/>
      <c r="O109" s="1"/>
    </row>
    <row r="110" customFormat="false" ht="15" hidden="false" customHeight="false" outlineLevel="0" collapsed="false">
      <c r="A110" s="1"/>
      <c r="B110" s="13" t="str">
        <f aca="false">IF(D110="","","P-"&amp;TEXT(ROW()-6,"000"))</f>
        <v/>
      </c>
      <c r="C110" s="15"/>
      <c r="D110" s="15"/>
      <c r="E110" s="15"/>
      <c r="F110" s="19"/>
      <c r="G110" s="16"/>
      <c r="H110" s="15"/>
      <c r="I110" s="17" t="str">
        <f aca="false">IF(H110="","",IF(H110&lt;10,"Sí","No"))</f>
        <v/>
      </c>
      <c r="J110" s="15"/>
      <c r="K110" s="17" t="str">
        <f aca="false">IF(B110="","",COUNTIFS(Competencia!$B$7:$B$406,B110,Competencia!$G$7:$G$406,"Sí"))</f>
        <v/>
      </c>
      <c r="L110" s="15"/>
      <c r="M110" s="15"/>
      <c r="N110" s="1"/>
      <c r="O110" s="1"/>
    </row>
    <row r="111" customFormat="false" ht="15" hidden="false" customHeight="false" outlineLevel="0" collapsed="false">
      <c r="A111" s="1"/>
      <c r="B111" s="8" t="str">
        <f aca="false">IF(D111="","","P-"&amp;TEXT(ROW()-6,"000"))</f>
        <v/>
      </c>
      <c r="C111" s="10"/>
      <c r="D111" s="10"/>
      <c r="E111" s="10"/>
      <c r="F111" s="18"/>
      <c r="G111" s="11"/>
      <c r="H111" s="10"/>
      <c r="I111" s="12" t="str">
        <f aca="false">IF(H111="","",IF(H111&lt;10,"Sí","No"))</f>
        <v/>
      </c>
      <c r="J111" s="10"/>
      <c r="K111" s="12" t="str">
        <f aca="false">IF(B111="","",COUNTIFS(Competencia!$B$7:$B$406,B111,Competencia!$G$7:$G$406,"Sí"))</f>
        <v/>
      </c>
      <c r="L111" s="10"/>
      <c r="M111" s="10"/>
      <c r="N111" s="1"/>
      <c r="O111" s="1"/>
    </row>
    <row r="112" customFormat="false" ht="15" hidden="false" customHeight="false" outlineLevel="0" collapsed="false">
      <c r="A112" s="1"/>
      <c r="B112" s="13" t="str">
        <f aca="false">IF(D112="","","P-"&amp;TEXT(ROW()-6,"000"))</f>
        <v/>
      </c>
      <c r="C112" s="15"/>
      <c r="D112" s="15"/>
      <c r="E112" s="15"/>
      <c r="F112" s="19"/>
      <c r="G112" s="16"/>
      <c r="H112" s="15"/>
      <c r="I112" s="17" t="str">
        <f aca="false">IF(H112="","",IF(H112&lt;10,"Sí","No"))</f>
        <v/>
      </c>
      <c r="J112" s="15"/>
      <c r="K112" s="17" t="str">
        <f aca="false">IF(B112="","",COUNTIFS(Competencia!$B$7:$B$406,B112,Competencia!$G$7:$G$406,"Sí"))</f>
        <v/>
      </c>
      <c r="L112" s="15"/>
      <c r="M112" s="15"/>
      <c r="N112" s="1"/>
      <c r="O112" s="1"/>
    </row>
    <row r="113" customFormat="false" ht="15" hidden="false" customHeight="false" outlineLevel="0" collapsed="false">
      <c r="A113" s="1"/>
      <c r="B113" s="8" t="str">
        <f aca="false">IF(D113="","","P-"&amp;TEXT(ROW()-6,"000"))</f>
        <v/>
      </c>
      <c r="C113" s="10"/>
      <c r="D113" s="10"/>
      <c r="E113" s="10"/>
      <c r="F113" s="18"/>
      <c r="G113" s="11"/>
      <c r="H113" s="10"/>
      <c r="I113" s="12" t="str">
        <f aca="false">IF(H113="","",IF(H113&lt;10,"Sí","No"))</f>
        <v/>
      </c>
      <c r="J113" s="10"/>
      <c r="K113" s="12" t="str">
        <f aca="false">IF(B113="","",COUNTIFS(Competencia!$B$7:$B$406,B113,Competencia!$G$7:$G$406,"Sí"))</f>
        <v/>
      </c>
      <c r="L113" s="10"/>
      <c r="M113" s="10"/>
      <c r="N113" s="1"/>
      <c r="O113" s="1"/>
    </row>
    <row r="114" customFormat="false" ht="15" hidden="false" customHeight="false" outlineLevel="0" collapsed="false">
      <c r="A114" s="1"/>
      <c r="B114" s="13" t="str">
        <f aca="false">IF(D114="","","P-"&amp;TEXT(ROW()-6,"000"))</f>
        <v/>
      </c>
      <c r="C114" s="15"/>
      <c r="D114" s="15"/>
      <c r="E114" s="15"/>
      <c r="F114" s="19"/>
      <c r="G114" s="16"/>
      <c r="H114" s="15"/>
      <c r="I114" s="17" t="str">
        <f aca="false">IF(H114="","",IF(H114&lt;10,"Sí","No"))</f>
        <v/>
      </c>
      <c r="J114" s="15"/>
      <c r="K114" s="17" t="str">
        <f aca="false">IF(B114="","",COUNTIFS(Competencia!$B$7:$B$406,B114,Competencia!$G$7:$G$406,"Sí"))</f>
        <v/>
      </c>
      <c r="L114" s="15"/>
      <c r="M114" s="15"/>
      <c r="N114" s="1"/>
      <c r="O114" s="1"/>
    </row>
    <row r="115" customFormat="false" ht="15" hidden="false" customHeight="false" outlineLevel="0" collapsed="false">
      <c r="A115" s="1"/>
      <c r="B115" s="8" t="str">
        <f aca="false">IF(D115="","","P-"&amp;TEXT(ROW()-6,"000"))</f>
        <v/>
      </c>
      <c r="C115" s="10"/>
      <c r="D115" s="10"/>
      <c r="E115" s="10"/>
      <c r="F115" s="18"/>
      <c r="G115" s="11"/>
      <c r="H115" s="10"/>
      <c r="I115" s="12" t="str">
        <f aca="false">IF(H115="","",IF(H115&lt;10,"Sí","No"))</f>
        <v/>
      </c>
      <c r="J115" s="10"/>
      <c r="K115" s="12" t="str">
        <f aca="false">IF(B115="","",COUNTIFS(Competencia!$B$7:$B$406,B115,Competencia!$G$7:$G$406,"Sí"))</f>
        <v/>
      </c>
      <c r="L115" s="10"/>
      <c r="M115" s="10"/>
      <c r="N115" s="1"/>
      <c r="O115" s="1"/>
    </row>
    <row r="116" customFormat="false" ht="15" hidden="false" customHeight="false" outlineLevel="0" collapsed="false">
      <c r="A116" s="1"/>
      <c r="B116" s="13" t="str">
        <f aca="false">IF(D116="","","P-"&amp;TEXT(ROW()-6,"000"))</f>
        <v/>
      </c>
      <c r="C116" s="15"/>
      <c r="D116" s="15"/>
      <c r="E116" s="15"/>
      <c r="F116" s="19"/>
      <c r="G116" s="16"/>
      <c r="H116" s="15"/>
      <c r="I116" s="17" t="str">
        <f aca="false">IF(H116="","",IF(H116&lt;10,"Sí","No"))</f>
        <v/>
      </c>
      <c r="J116" s="15"/>
      <c r="K116" s="17" t="str">
        <f aca="false">IF(B116="","",COUNTIFS(Competencia!$B$7:$B$406,B116,Competencia!$G$7:$G$406,"Sí"))</f>
        <v/>
      </c>
      <c r="L116" s="15"/>
      <c r="M116" s="15"/>
      <c r="N116" s="1"/>
      <c r="O116" s="1"/>
    </row>
    <row r="117" customFormat="false" ht="15" hidden="false" customHeight="false" outlineLevel="0" collapsed="false">
      <c r="A117" s="1"/>
      <c r="B117" s="8" t="str">
        <f aca="false">IF(D117="","","P-"&amp;TEXT(ROW()-6,"000"))</f>
        <v/>
      </c>
      <c r="C117" s="10"/>
      <c r="D117" s="10"/>
      <c r="E117" s="10"/>
      <c r="F117" s="18"/>
      <c r="G117" s="11"/>
      <c r="H117" s="10"/>
      <c r="I117" s="12" t="str">
        <f aca="false">IF(H117="","",IF(H117&lt;10,"Sí","No"))</f>
        <v/>
      </c>
      <c r="J117" s="10"/>
      <c r="K117" s="12" t="str">
        <f aca="false">IF(B117="","",COUNTIFS(Competencia!$B$7:$B$406,B117,Competencia!$G$7:$G$406,"Sí"))</f>
        <v/>
      </c>
      <c r="L117" s="10"/>
      <c r="M117" s="10"/>
      <c r="N117" s="1"/>
      <c r="O117" s="1"/>
    </row>
    <row r="118" customFormat="false" ht="15" hidden="false" customHeight="false" outlineLevel="0" collapsed="false">
      <c r="A118" s="1"/>
      <c r="B118" s="13" t="str">
        <f aca="false">IF(D118="","","P-"&amp;TEXT(ROW()-6,"000"))</f>
        <v/>
      </c>
      <c r="C118" s="15"/>
      <c r="D118" s="15"/>
      <c r="E118" s="15"/>
      <c r="F118" s="19"/>
      <c r="G118" s="16"/>
      <c r="H118" s="15"/>
      <c r="I118" s="17" t="str">
        <f aca="false">IF(H118="","",IF(H118&lt;10,"Sí","No"))</f>
        <v/>
      </c>
      <c r="J118" s="15"/>
      <c r="K118" s="17" t="str">
        <f aca="false">IF(B118="","",COUNTIFS(Competencia!$B$7:$B$406,B118,Competencia!$G$7:$G$406,"Sí"))</f>
        <v/>
      </c>
      <c r="L118" s="15"/>
      <c r="M118" s="15"/>
      <c r="N118" s="1"/>
      <c r="O118" s="1"/>
    </row>
    <row r="119" customFormat="false" ht="15" hidden="false" customHeight="false" outlineLevel="0" collapsed="false">
      <c r="A119" s="1"/>
      <c r="B119" s="8" t="str">
        <f aca="false">IF(D119="","","P-"&amp;TEXT(ROW()-6,"000"))</f>
        <v/>
      </c>
      <c r="C119" s="10"/>
      <c r="D119" s="10"/>
      <c r="E119" s="10"/>
      <c r="F119" s="18"/>
      <c r="G119" s="11"/>
      <c r="H119" s="10"/>
      <c r="I119" s="12" t="str">
        <f aca="false">IF(H119="","",IF(H119&lt;10,"Sí","No"))</f>
        <v/>
      </c>
      <c r="J119" s="10"/>
      <c r="K119" s="12" t="str">
        <f aca="false">IF(B119="","",COUNTIFS(Competencia!$B$7:$B$406,B119,Competencia!$G$7:$G$406,"Sí"))</f>
        <v/>
      </c>
      <c r="L119" s="10"/>
      <c r="M119" s="10"/>
      <c r="N119" s="1"/>
      <c r="O119" s="1"/>
    </row>
    <row r="120" customFormat="false" ht="15" hidden="false" customHeight="false" outlineLevel="0" collapsed="false">
      <c r="A120" s="1"/>
      <c r="B120" s="13" t="str">
        <f aca="false">IF(D120="","","P-"&amp;TEXT(ROW()-6,"000"))</f>
        <v/>
      </c>
      <c r="C120" s="15"/>
      <c r="D120" s="15"/>
      <c r="E120" s="15"/>
      <c r="F120" s="19"/>
      <c r="G120" s="16"/>
      <c r="H120" s="15"/>
      <c r="I120" s="17" t="str">
        <f aca="false">IF(H120="","",IF(H120&lt;10,"Sí","No"))</f>
        <v/>
      </c>
      <c r="J120" s="15"/>
      <c r="K120" s="17" t="str">
        <f aca="false">IF(B120="","",COUNTIFS(Competencia!$B$7:$B$406,B120,Competencia!$G$7:$G$406,"Sí"))</f>
        <v/>
      </c>
      <c r="L120" s="15"/>
      <c r="M120" s="15"/>
      <c r="N120" s="1"/>
      <c r="O120" s="1"/>
    </row>
    <row r="121" customFormat="false" ht="15" hidden="false" customHeight="false" outlineLevel="0" collapsed="false">
      <c r="A121" s="1"/>
      <c r="B121" s="8" t="str">
        <f aca="false">IF(D121="","","P-"&amp;TEXT(ROW()-6,"000"))</f>
        <v/>
      </c>
      <c r="C121" s="10"/>
      <c r="D121" s="10"/>
      <c r="E121" s="10"/>
      <c r="F121" s="18"/>
      <c r="G121" s="11"/>
      <c r="H121" s="10"/>
      <c r="I121" s="12" t="str">
        <f aca="false">IF(H121="","",IF(H121&lt;10,"Sí","No"))</f>
        <v/>
      </c>
      <c r="J121" s="10"/>
      <c r="K121" s="12" t="str">
        <f aca="false">IF(B121="","",COUNTIFS(Competencia!$B$7:$B$406,B121,Competencia!$G$7:$G$406,"Sí"))</f>
        <v/>
      </c>
      <c r="L121" s="10"/>
      <c r="M121" s="10"/>
      <c r="N121" s="1"/>
      <c r="O121" s="1"/>
    </row>
    <row r="122" customFormat="false" ht="15" hidden="false" customHeight="false" outlineLevel="0" collapsed="false">
      <c r="A122" s="1"/>
      <c r="B122" s="13" t="str">
        <f aca="false">IF(D122="","","P-"&amp;TEXT(ROW()-6,"000"))</f>
        <v/>
      </c>
      <c r="C122" s="15"/>
      <c r="D122" s="15"/>
      <c r="E122" s="15"/>
      <c r="F122" s="19"/>
      <c r="G122" s="16"/>
      <c r="H122" s="15"/>
      <c r="I122" s="17" t="str">
        <f aca="false">IF(H122="","",IF(H122&lt;10,"Sí","No"))</f>
        <v/>
      </c>
      <c r="J122" s="15"/>
      <c r="K122" s="17" t="str">
        <f aca="false">IF(B122="","",COUNTIFS(Competencia!$B$7:$B$406,B122,Competencia!$G$7:$G$406,"Sí"))</f>
        <v/>
      </c>
      <c r="L122" s="15"/>
      <c r="M122" s="15"/>
      <c r="N122" s="1"/>
      <c r="O122" s="1"/>
    </row>
    <row r="123" customFormat="false" ht="15" hidden="false" customHeight="false" outlineLevel="0" collapsed="false">
      <c r="A123" s="1"/>
      <c r="B123" s="8" t="str">
        <f aca="false">IF(D123="","","P-"&amp;TEXT(ROW()-6,"000"))</f>
        <v/>
      </c>
      <c r="C123" s="10"/>
      <c r="D123" s="10"/>
      <c r="E123" s="10"/>
      <c r="F123" s="18"/>
      <c r="G123" s="11"/>
      <c r="H123" s="10"/>
      <c r="I123" s="12" t="str">
        <f aca="false">IF(H123="","",IF(H123&lt;10,"Sí","No"))</f>
        <v/>
      </c>
      <c r="J123" s="10"/>
      <c r="K123" s="12" t="str">
        <f aca="false">IF(B123="","",COUNTIFS(Competencia!$B$7:$B$406,B123,Competencia!$G$7:$G$406,"Sí"))</f>
        <v/>
      </c>
      <c r="L123" s="10"/>
      <c r="M123" s="10"/>
      <c r="N123" s="1"/>
      <c r="O123" s="1"/>
    </row>
    <row r="124" customFormat="false" ht="15" hidden="false" customHeight="false" outlineLevel="0" collapsed="false">
      <c r="A124" s="1"/>
      <c r="B124" s="13" t="str">
        <f aca="false">IF(D124="","","P-"&amp;TEXT(ROW()-6,"000"))</f>
        <v/>
      </c>
      <c r="C124" s="15"/>
      <c r="D124" s="15"/>
      <c r="E124" s="15"/>
      <c r="F124" s="19"/>
      <c r="G124" s="16"/>
      <c r="H124" s="15"/>
      <c r="I124" s="17" t="str">
        <f aca="false">IF(H124="","",IF(H124&lt;10,"Sí","No"))</f>
        <v/>
      </c>
      <c r="J124" s="15"/>
      <c r="K124" s="17" t="str">
        <f aca="false">IF(B124="","",COUNTIFS(Competencia!$B$7:$B$406,B124,Competencia!$G$7:$G$406,"Sí"))</f>
        <v/>
      </c>
      <c r="L124" s="15"/>
      <c r="M124" s="15"/>
      <c r="N124" s="1"/>
      <c r="O124" s="1"/>
    </row>
    <row r="125" customFormat="false" ht="15" hidden="false" customHeight="false" outlineLevel="0" collapsed="false">
      <c r="A125" s="1"/>
      <c r="B125" s="8" t="str">
        <f aca="false">IF(D125="","","P-"&amp;TEXT(ROW()-6,"000"))</f>
        <v/>
      </c>
      <c r="C125" s="10"/>
      <c r="D125" s="10"/>
      <c r="E125" s="10"/>
      <c r="F125" s="18"/>
      <c r="G125" s="11"/>
      <c r="H125" s="10"/>
      <c r="I125" s="12" t="str">
        <f aca="false">IF(H125="","",IF(H125&lt;10,"Sí","No"))</f>
        <v/>
      </c>
      <c r="J125" s="10"/>
      <c r="K125" s="12" t="str">
        <f aca="false">IF(B125="","",COUNTIFS(Competencia!$B$7:$B$406,B125,Competencia!$G$7:$G$406,"Sí"))</f>
        <v/>
      </c>
      <c r="L125" s="10"/>
      <c r="M125" s="10"/>
      <c r="N125" s="1"/>
      <c r="O125" s="1"/>
    </row>
    <row r="126" customFormat="false" ht="15" hidden="false" customHeight="false" outlineLevel="0" collapsed="false">
      <c r="A126" s="1"/>
      <c r="B126" s="13" t="str">
        <f aca="false">IF(D126="","","P-"&amp;TEXT(ROW()-6,"000"))</f>
        <v/>
      </c>
      <c r="C126" s="15"/>
      <c r="D126" s="15"/>
      <c r="E126" s="15"/>
      <c r="F126" s="19"/>
      <c r="G126" s="16"/>
      <c r="H126" s="15"/>
      <c r="I126" s="17" t="str">
        <f aca="false">IF(H126="","",IF(H126&lt;10,"Sí","No"))</f>
        <v/>
      </c>
      <c r="J126" s="15"/>
      <c r="K126" s="17" t="str">
        <f aca="false">IF(B126="","",COUNTIFS(Competencia!$B$7:$B$406,B126,Competencia!$G$7:$G$406,"Sí"))</f>
        <v/>
      </c>
      <c r="L126" s="15"/>
      <c r="M126" s="15"/>
      <c r="N126" s="1"/>
      <c r="O126" s="1"/>
    </row>
    <row r="127" customFormat="false" ht="15" hidden="false" customHeight="false" outlineLevel="0" collapsed="false">
      <c r="A127" s="1"/>
      <c r="B127" s="8" t="str">
        <f aca="false">IF(D127="","","P-"&amp;TEXT(ROW()-6,"000"))</f>
        <v/>
      </c>
      <c r="C127" s="10"/>
      <c r="D127" s="10"/>
      <c r="E127" s="10"/>
      <c r="F127" s="18"/>
      <c r="G127" s="11"/>
      <c r="H127" s="10"/>
      <c r="I127" s="12" t="str">
        <f aca="false">IF(H127="","",IF(H127&lt;10,"Sí","No"))</f>
        <v/>
      </c>
      <c r="J127" s="10"/>
      <c r="K127" s="12" t="str">
        <f aca="false">IF(B127="","",COUNTIFS(Competencia!$B$7:$B$406,B127,Competencia!$G$7:$G$406,"Sí"))</f>
        <v/>
      </c>
      <c r="L127" s="10"/>
      <c r="M127" s="10"/>
      <c r="N127" s="1"/>
      <c r="O127" s="1"/>
    </row>
    <row r="128" customFormat="false" ht="15" hidden="false" customHeight="false" outlineLevel="0" collapsed="false">
      <c r="A128" s="1"/>
      <c r="B128" s="13" t="str">
        <f aca="false">IF(D128="","","P-"&amp;TEXT(ROW()-6,"000"))</f>
        <v/>
      </c>
      <c r="C128" s="15"/>
      <c r="D128" s="15"/>
      <c r="E128" s="15"/>
      <c r="F128" s="19"/>
      <c r="G128" s="16"/>
      <c r="H128" s="15"/>
      <c r="I128" s="17" t="str">
        <f aca="false">IF(H128="","",IF(H128&lt;10,"Sí","No"))</f>
        <v/>
      </c>
      <c r="J128" s="15"/>
      <c r="K128" s="17" t="str">
        <f aca="false">IF(B128="","",COUNTIFS(Competencia!$B$7:$B$406,B128,Competencia!$G$7:$G$406,"Sí"))</f>
        <v/>
      </c>
      <c r="L128" s="15"/>
      <c r="M128" s="15"/>
      <c r="N128" s="1"/>
      <c r="O128" s="1"/>
    </row>
    <row r="129" customFormat="false" ht="15" hidden="false" customHeight="false" outlineLevel="0" collapsed="false">
      <c r="A129" s="1"/>
      <c r="B129" s="8" t="str">
        <f aca="false">IF(D129="","","P-"&amp;TEXT(ROW()-6,"000"))</f>
        <v/>
      </c>
      <c r="C129" s="10"/>
      <c r="D129" s="10"/>
      <c r="E129" s="10"/>
      <c r="F129" s="18"/>
      <c r="G129" s="11"/>
      <c r="H129" s="10"/>
      <c r="I129" s="12" t="str">
        <f aca="false">IF(H129="","",IF(H129&lt;10,"Sí","No"))</f>
        <v/>
      </c>
      <c r="J129" s="10"/>
      <c r="K129" s="12" t="str">
        <f aca="false">IF(B129="","",COUNTIFS(Competencia!$B$7:$B$406,B129,Competencia!$G$7:$G$406,"Sí"))</f>
        <v/>
      </c>
      <c r="L129" s="10"/>
      <c r="M129" s="10"/>
      <c r="N129" s="1"/>
      <c r="O129" s="1"/>
    </row>
    <row r="130" customFormat="false" ht="15" hidden="false" customHeight="false" outlineLevel="0" collapsed="false">
      <c r="A130" s="1"/>
      <c r="B130" s="13" t="str">
        <f aca="false">IF(D130="","","P-"&amp;TEXT(ROW()-6,"000"))</f>
        <v/>
      </c>
      <c r="C130" s="15"/>
      <c r="D130" s="15"/>
      <c r="E130" s="15"/>
      <c r="F130" s="19"/>
      <c r="G130" s="16"/>
      <c r="H130" s="15"/>
      <c r="I130" s="17" t="str">
        <f aca="false">IF(H130="","",IF(H130&lt;10,"Sí","No"))</f>
        <v/>
      </c>
      <c r="J130" s="15"/>
      <c r="K130" s="17" t="str">
        <f aca="false">IF(B130="","",COUNTIFS(Competencia!$B$7:$B$406,B130,Competencia!$G$7:$G$406,"Sí"))</f>
        <v/>
      </c>
      <c r="L130" s="15"/>
      <c r="M130" s="15"/>
      <c r="N130" s="1"/>
      <c r="O130" s="1"/>
    </row>
    <row r="131" customFormat="false" ht="15" hidden="false" customHeight="false" outlineLevel="0" collapsed="false">
      <c r="A131" s="1"/>
      <c r="B131" s="8" t="str">
        <f aca="false">IF(D131="","","P-"&amp;TEXT(ROW()-6,"000"))</f>
        <v/>
      </c>
      <c r="C131" s="10"/>
      <c r="D131" s="10"/>
      <c r="E131" s="10"/>
      <c r="F131" s="18"/>
      <c r="G131" s="11"/>
      <c r="H131" s="10"/>
      <c r="I131" s="12" t="str">
        <f aca="false">IF(H131="","",IF(H131&lt;10,"Sí","No"))</f>
        <v/>
      </c>
      <c r="J131" s="10"/>
      <c r="K131" s="12" t="str">
        <f aca="false">IF(B131="","",COUNTIFS(Competencia!$B$7:$B$406,B131,Competencia!$G$7:$G$406,"Sí"))</f>
        <v/>
      </c>
      <c r="L131" s="10"/>
      <c r="M131" s="10"/>
      <c r="N131" s="1"/>
      <c r="O131" s="1"/>
    </row>
    <row r="132" customFormat="false" ht="15" hidden="false" customHeight="false" outlineLevel="0" collapsed="false">
      <c r="A132" s="1"/>
      <c r="B132" s="13" t="str">
        <f aca="false">IF(D132="","","P-"&amp;TEXT(ROW()-6,"000"))</f>
        <v/>
      </c>
      <c r="C132" s="15"/>
      <c r="D132" s="15"/>
      <c r="E132" s="15"/>
      <c r="F132" s="19"/>
      <c r="G132" s="16"/>
      <c r="H132" s="15"/>
      <c r="I132" s="17" t="str">
        <f aca="false">IF(H132="","",IF(H132&lt;10,"Sí","No"))</f>
        <v/>
      </c>
      <c r="J132" s="15"/>
      <c r="K132" s="17" t="str">
        <f aca="false">IF(B132="","",COUNTIFS(Competencia!$B$7:$B$406,B132,Competencia!$G$7:$G$406,"Sí"))</f>
        <v/>
      </c>
      <c r="L132" s="15"/>
      <c r="M132" s="15"/>
      <c r="N132" s="1"/>
      <c r="O132" s="1"/>
    </row>
    <row r="133" customFormat="false" ht="15" hidden="false" customHeight="false" outlineLevel="0" collapsed="false">
      <c r="A133" s="1"/>
      <c r="B133" s="8" t="str">
        <f aca="false">IF(D133="","","P-"&amp;TEXT(ROW()-6,"000"))</f>
        <v/>
      </c>
      <c r="C133" s="10"/>
      <c r="D133" s="10"/>
      <c r="E133" s="10"/>
      <c r="F133" s="18"/>
      <c r="G133" s="11"/>
      <c r="H133" s="10"/>
      <c r="I133" s="12" t="str">
        <f aca="false">IF(H133="","",IF(H133&lt;10,"Sí","No"))</f>
        <v/>
      </c>
      <c r="J133" s="10"/>
      <c r="K133" s="12" t="str">
        <f aca="false">IF(B133="","",COUNTIFS(Competencia!$B$7:$B$406,B133,Competencia!$G$7:$G$406,"Sí"))</f>
        <v/>
      </c>
      <c r="L133" s="10"/>
      <c r="M133" s="10"/>
      <c r="N133" s="1"/>
      <c r="O133" s="1"/>
    </row>
    <row r="134" customFormat="false" ht="15" hidden="false" customHeight="false" outlineLevel="0" collapsed="false">
      <c r="A134" s="1"/>
      <c r="B134" s="13" t="str">
        <f aca="false">IF(D134="","","P-"&amp;TEXT(ROW()-6,"000"))</f>
        <v/>
      </c>
      <c r="C134" s="15"/>
      <c r="D134" s="15"/>
      <c r="E134" s="15"/>
      <c r="F134" s="19"/>
      <c r="G134" s="16"/>
      <c r="H134" s="15"/>
      <c r="I134" s="17" t="str">
        <f aca="false">IF(H134="","",IF(H134&lt;10,"Sí","No"))</f>
        <v/>
      </c>
      <c r="J134" s="15"/>
      <c r="K134" s="17" t="str">
        <f aca="false">IF(B134="","",COUNTIFS(Competencia!$B$7:$B$406,B134,Competencia!$G$7:$G$406,"Sí"))</f>
        <v/>
      </c>
      <c r="L134" s="15"/>
      <c r="M134" s="15"/>
      <c r="N134" s="1"/>
      <c r="O134" s="1"/>
    </row>
    <row r="135" customFormat="false" ht="15" hidden="false" customHeight="false" outlineLevel="0" collapsed="false">
      <c r="A135" s="1"/>
      <c r="B135" s="8" t="str">
        <f aca="false">IF(D135="","","P-"&amp;TEXT(ROW()-6,"000"))</f>
        <v/>
      </c>
      <c r="C135" s="10"/>
      <c r="D135" s="10"/>
      <c r="E135" s="10"/>
      <c r="F135" s="18"/>
      <c r="G135" s="11"/>
      <c r="H135" s="10"/>
      <c r="I135" s="12" t="str">
        <f aca="false">IF(H135="","",IF(H135&lt;10,"Sí","No"))</f>
        <v/>
      </c>
      <c r="J135" s="10"/>
      <c r="K135" s="12" t="str">
        <f aca="false">IF(B135="","",COUNTIFS(Competencia!$B$7:$B$406,B135,Competencia!$G$7:$G$406,"Sí"))</f>
        <v/>
      </c>
      <c r="L135" s="10"/>
      <c r="M135" s="10"/>
      <c r="N135" s="1"/>
      <c r="O135" s="1"/>
    </row>
    <row r="136" customFormat="false" ht="15" hidden="false" customHeight="false" outlineLevel="0" collapsed="false">
      <c r="A136" s="1"/>
      <c r="B136" s="13" t="str">
        <f aca="false">IF(D136="","","P-"&amp;TEXT(ROW()-6,"000"))</f>
        <v/>
      </c>
      <c r="C136" s="15"/>
      <c r="D136" s="15"/>
      <c r="E136" s="15"/>
      <c r="F136" s="19"/>
      <c r="G136" s="16"/>
      <c r="H136" s="15"/>
      <c r="I136" s="17" t="str">
        <f aca="false">IF(H136="","",IF(H136&lt;10,"Sí","No"))</f>
        <v/>
      </c>
      <c r="J136" s="15"/>
      <c r="K136" s="17" t="str">
        <f aca="false">IF(B136="","",COUNTIFS(Competencia!$B$7:$B$406,B136,Competencia!$G$7:$G$406,"Sí"))</f>
        <v/>
      </c>
      <c r="L136" s="15"/>
      <c r="M136" s="15"/>
      <c r="N136" s="1"/>
      <c r="O136" s="1"/>
    </row>
    <row r="137" customFormat="false" ht="15" hidden="false" customHeight="false" outlineLevel="0" collapsed="false">
      <c r="A137" s="1"/>
      <c r="B137" s="8" t="str">
        <f aca="false">IF(D137="","","P-"&amp;TEXT(ROW()-6,"000"))</f>
        <v/>
      </c>
      <c r="C137" s="10"/>
      <c r="D137" s="10"/>
      <c r="E137" s="10"/>
      <c r="F137" s="18"/>
      <c r="G137" s="11"/>
      <c r="H137" s="10"/>
      <c r="I137" s="12" t="str">
        <f aca="false">IF(H137="","",IF(H137&lt;10,"Sí","No"))</f>
        <v/>
      </c>
      <c r="J137" s="10"/>
      <c r="K137" s="12" t="str">
        <f aca="false">IF(B137="","",COUNTIFS(Competencia!$B$7:$B$406,B137,Competencia!$G$7:$G$406,"Sí"))</f>
        <v/>
      </c>
      <c r="L137" s="10"/>
      <c r="M137" s="10"/>
      <c r="N137" s="1"/>
      <c r="O137" s="1"/>
    </row>
    <row r="138" customFormat="false" ht="15" hidden="false" customHeight="false" outlineLevel="0" collapsed="false">
      <c r="A138" s="1"/>
      <c r="B138" s="13" t="str">
        <f aca="false">IF(D138="","","P-"&amp;TEXT(ROW()-6,"000"))</f>
        <v/>
      </c>
      <c r="C138" s="15"/>
      <c r="D138" s="15"/>
      <c r="E138" s="15"/>
      <c r="F138" s="19"/>
      <c r="G138" s="16"/>
      <c r="H138" s="15"/>
      <c r="I138" s="17" t="str">
        <f aca="false">IF(H138="","",IF(H138&lt;10,"Sí","No"))</f>
        <v/>
      </c>
      <c r="J138" s="15"/>
      <c r="K138" s="17" t="str">
        <f aca="false">IF(B138="","",COUNTIFS(Competencia!$B$7:$B$406,B138,Competencia!$G$7:$G$406,"Sí"))</f>
        <v/>
      </c>
      <c r="L138" s="15"/>
      <c r="M138" s="15"/>
      <c r="N138" s="1"/>
      <c r="O138" s="1"/>
    </row>
    <row r="139" customFormat="false" ht="15" hidden="false" customHeight="false" outlineLevel="0" collapsed="false">
      <c r="A139" s="1"/>
      <c r="B139" s="8" t="str">
        <f aca="false">IF(D139="","","P-"&amp;TEXT(ROW()-6,"000"))</f>
        <v/>
      </c>
      <c r="C139" s="10"/>
      <c r="D139" s="10"/>
      <c r="E139" s="10"/>
      <c r="F139" s="18"/>
      <c r="G139" s="11"/>
      <c r="H139" s="10"/>
      <c r="I139" s="12" t="str">
        <f aca="false">IF(H139="","",IF(H139&lt;10,"Sí","No"))</f>
        <v/>
      </c>
      <c r="J139" s="10"/>
      <c r="K139" s="12" t="str">
        <f aca="false">IF(B139="","",COUNTIFS(Competencia!$B$7:$B$406,B139,Competencia!$G$7:$G$406,"Sí"))</f>
        <v/>
      </c>
      <c r="L139" s="10"/>
      <c r="M139" s="10"/>
      <c r="N139" s="1"/>
      <c r="O139" s="1"/>
    </row>
    <row r="140" customFormat="false" ht="15" hidden="false" customHeight="false" outlineLevel="0" collapsed="false">
      <c r="A140" s="1"/>
      <c r="B140" s="13" t="str">
        <f aca="false">IF(D140="","","P-"&amp;TEXT(ROW()-6,"000"))</f>
        <v/>
      </c>
      <c r="C140" s="15"/>
      <c r="D140" s="15"/>
      <c r="E140" s="15"/>
      <c r="F140" s="19"/>
      <c r="G140" s="16"/>
      <c r="H140" s="15"/>
      <c r="I140" s="17" t="str">
        <f aca="false">IF(H140="","",IF(H140&lt;10,"Sí","No"))</f>
        <v/>
      </c>
      <c r="J140" s="15"/>
      <c r="K140" s="17" t="str">
        <f aca="false">IF(B140="","",COUNTIFS(Competencia!$B$7:$B$406,B140,Competencia!$G$7:$G$406,"Sí"))</f>
        <v/>
      </c>
      <c r="L140" s="15"/>
      <c r="M140" s="15"/>
      <c r="N140" s="1"/>
      <c r="O140" s="1"/>
    </row>
    <row r="141" customFormat="false" ht="15" hidden="false" customHeight="false" outlineLevel="0" collapsed="false">
      <c r="A141" s="1"/>
      <c r="B141" s="8" t="str">
        <f aca="false">IF(D141="","","P-"&amp;TEXT(ROW()-6,"000"))</f>
        <v/>
      </c>
      <c r="C141" s="10"/>
      <c r="D141" s="10"/>
      <c r="E141" s="10"/>
      <c r="F141" s="18"/>
      <c r="G141" s="11"/>
      <c r="H141" s="10"/>
      <c r="I141" s="12" t="str">
        <f aca="false">IF(H141="","",IF(H141&lt;10,"Sí","No"))</f>
        <v/>
      </c>
      <c r="J141" s="10"/>
      <c r="K141" s="12" t="str">
        <f aca="false">IF(B141="","",COUNTIFS(Competencia!$B$7:$B$406,B141,Competencia!$G$7:$G$406,"Sí"))</f>
        <v/>
      </c>
      <c r="L141" s="10"/>
      <c r="M141" s="10"/>
      <c r="N141" s="1"/>
      <c r="O141" s="1"/>
    </row>
    <row r="142" customFormat="false" ht="15" hidden="false" customHeight="false" outlineLevel="0" collapsed="false">
      <c r="A142" s="1"/>
      <c r="B142" s="13" t="str">
        <f aca="false">IF(D142="","","P-"&amp;TEXT(ROW()-6,"000"))</f>
        <v/>
      </c>
      <c r="C142" s="15"/>
      <c r="D142" s="15"/>
      <c r="E142" s="15"/>
      <c r="F142" s="19"/>
      <c r="G142" s="16"/>
      <c r="H142" s="15"/>
      <c r="I142" s="17" t="str">
        <f aca="false">IF(H142="","",IF(H142&lt;10,"Sí","No"))</f>
        <v/>
      </c>
      <c r="J142" s="15"/>
      <c r="K142" s="17" t="str">
        <f aca="false">IF(B142="","",COUNTIFS(Competencia!$B$7:$B$406,B142,Competencia!$G$7:$G$406,"Sí"))</f>
        <v/>
      </c>
      <c r="L142" s="15"/>
      <c r="M142" s="15"/>
      <c r="N142" s="1"/>
      <c r="O142" s="1"/>
    </row>
    <row r="143" customFormat="false" ht="15" hidden="false" customHeight="false" outlineLevel="0" collapsed="false">
      <c r="A143" s="1"/>
      <c r="B143" s="8" t="str">
        <f aca="false">IF(D143="","","P-"&amp;TEXT(ROW()-6,"000"))</f>
        <v/>
      </c>
      <c r="C143" s="10"/>
      <c r="D143" s="10"/>
      <c r="E143" s="10"/>
      <c r="F143" s="18"/>
      <c r="G143" s="11"/>
      <c r="H143" s="10"/>
      <c r="I143" s="12" t="str">
        <f aca="false">IF(H143="","",IF(H143&lt;10,"Sí","No"))</f>
        <v/>
      </c>
      <c r="J143" s="10"/>
      <c r="K143" s="12" t="str">
        <f aca="false">IF(B143="","",COUNTIFS(Competencia!$B$7:$B$406,B143,Competencia!$G$7:$G$406,"Sí"))</f>
        <v/>
      </c>
      <c r="L143" s="10"/>
      <c r="M143" s="10"/>
      <c r="N143" s="1"/>
      <c r="O143" s="1"/>
    </row>
    <row r="144" customFormat="false" ht="15" hidden="false" customHeight="false" outlineLevel="0" collapsed="false">
      <c r="A144" s="1"/>
      <c r="B144" s="13" t="str">
        <f aca="false">IF(D144="","","P-"&amp;TEXT(ROW()-6,"000"))</f>
        <v/>
      </c>
      <c r="C144" s="15"/>
      <c r="D144" s="15"/>
      <c r="E144" s="15"/>
      <c r="F144" s="19"/>
      <c r="G144" s="16"/>
      <c r="H144" s="15"/>
      <c r="I144" s="17" t="str">
        <f aca="false">IF(H144="","",IF(H144&lt;10,"Sí","No"))</f>
        <v/>
      </c>
      <c r="J144" s="15"/>
      <c r="K144" s="17" t="str">
        <f aca="false">IF(B144="","",COUNTIFS(Competencia!$B$7:$B$406,B144,Competencia!$G$7:$G$406,"Sí"))</f>
        <v/>
      </c>
      <c r="L144" s="15"/>
      <c r="M144" s="15"/>
      <c r="N144" s="1"/>
      <c r="O144" s="1"/>
    </row>
    <row r="145" customFormat="false" ht="15" hidden="false" customHeight="false" outlineLevel="0" collapsed="false">
      <c r="A145" s="1"/>
      <c r="B145" s="8" t="str">
        <f aca="false">IF(D145="","","P-"&amp;TEXT(ROW()-6,"000"))</f>
        <v/>
      </c>
      <c r="C145" s="10"/>
      <c r="D145" s="10"/>
      <c r="E145" s="10"/>
      <c r="F145" s="18"/>
      <c r="G145" s="11"/>
      <c r="H145" s="10"/>
      <c r="I145" s="12" t="str">
        <f aca="false">IF(H145="","",IF(H145&lt;10,"Sí","No"))</f>
        <v/>
      </c>
      <c r="J145" s="10"/>
      <c r="K145" s="12" t="str">
        <f aca="false">IF(B145="","",COUNTIFS(Competencia!$B$7:$B$406,B145,Competencia!$G$7:$G$406,"Sí"))</f>
        <v/>
      </c>
      <c r="L145" s="10"/>
      <c r="M145" s="10"/>
      <c r="N145" s="1"/>
      <c r="O145" s="1"/>
    </row>
    <row r="146" customFormat="false" ht="15" hidden="false" customHeight="false" outlineLevel="0" collapsed="false">
      <c r="A146" s="1"/>
      <c r="B146" s="13" t="str">
        <f aca="false">IF(D146="","","P-"&amp;TEXT(ROW()-6,"000"))</f>
        <v/>
      </c>
      <c r="C146" s="15"/>
      <c r="D146" s="15"/>
      <c r="E146" s="15"/>
      <c r="F146" s="19"/>
      <c r="G146" s="16"/>
      <c r="H146" s="15"/>
      <c r="I146" s="17" t="str">
        <f aca="false">IF(H146="","",IF(H146&lt;10,"Sí","No"))</f>
        <v/>
      </c>
      <c r="J146" s="15"/>
      <c r="K146" s="17" t="str">
        <f aca="false">IF(B146="","",COUNTIFS(Competencia!$B$7:$B$406,B146,Competencia!$G$7:$G$406,"Sí"))</f>
        <v/>
      </c>
      <c r="L146" s="15"/>
      <c r="M146" s="15"/>
      <c r="N146" s="1"/>
      <c r="O146" s="1"/>
    </row>
    <row r="147" customFormat="false" ht="15" hidden="false" customHeight="false" outlineLevel="0" collapsed="false">
      <c r="A147" s="1"/>
      <c r="B147" s="8" t="str">
        <f aca="false">IF(D147="","","P-"&amp;TEXT(ROW()-6,"000"))</f>
        <v/>
      </c>
      <c r="C147" s="10"/>
      <c r="D147" s="10"/>
      <c r="E147" s="10"/>
      <c r="F147" s="18"/>
      <c r="G147" s="11"/>
      <c r="H147" s="10"/>
      <c r="I147" s="12" t="str">
        <f aca="false">IF(H147="","",IF(H147&lt;10,"Sí","No"))</f>
        <v/>
      </c>
      <c r="J147" s="10"/>
      <c r="K147" s="12" t="str">
        <f aca="false">IF(B147="","",COUNTIFS(Competencia!$B$7:$B$406,B147,Competencia!$G$7:$G$406,"Sí"))</f>
        <v/>
      </c>
      <c r="L147" s="10"/>
      <c r="M147" s="10"/>
      <c r="N147" s="1"/>
      <c r="O147" s="1"/>
    </row>
    <row r="148" customFormat="false" ht="15" hidden="false" customHeight="false" outlineLevel="0" collapsed="false">
      <c r="A148" s="1"/>
      <c r="B148" s="13" t="str">
        <f aca="false">IF(D148="","","P-"&amp;TEXT(ROW()-6,"000"))</f>
        <v/>
      </c>
      <c r="C148" s="15"/>
      <c r="D148" s="15"/>
      <c r="E148" s="15"/>
      <c r="F148" s="19"/>
      <c r="G148" s="16"/>
      <c r="H148" s="15"/>
      <c r="I148" s="17" t="str">
        <f aca="false">IF(H148="","",IF(H148&lt;10,"Sí","No"))</f>
        <v/>
      </c>
      <c r="J148" s="15"/>
      <c r="K148" s="17" t="str">
        <f aca="false">IF(B148="","",COUNTIFS(Competencia!$B$7:$B$406,B148,Competencia!$G$7:$G$406,"Sí"))</f>
        <v/>
      </c>
      <c r="L148" s="15"/>
      <c r="M148" s="15"/>
      <c r="N148" s="1"/>
      <c r="O148" s="1"/>
    </row>
    <row r="149" customFormat="false" ht="15" hidden="false" customHeight="false" outlineLevel="0" collapsed="false">
      <c r="A149" s="1"/>
      <c r="B149" s="8" t="str">
        <f aca="false">IF(D149="","","P-"&amp;TEXT(ROW()-6,"000"))</f>
        <v/>
      </c>
      <c r="C149" s="10"/>
      <c r="D149" s="10"/>
      <c r="E149" s="10"/>
      <c r="F149" s="18"/>
      <c r="G149" s="11"/>
      <c r="H149" s="10"/>
      <c r="I149" s="12" t="str">
        <f aca="false">IF(H149="","",IF(H149&lt;10,"Sí","No"))</f>
        <v/>
      </c>
      <c r="J149" s="10"/>
      <c r="K149" s="12" t="str">
        <f aca="false">IF(B149="","",COUNTIFS(Competencia!$B$7:$B$406,B149,Competencia!$G$7:$G$406,"Sí"))</f>
        <v/>
      </c>
      <c r="L149" s="10"/>
      <c r="M149" s="10"/>
      <c r="N149" s="1"/>
      <c r="O149" s="1"/>
    </row>
    <row r="150" customFormat="false" ht="15" hidden="false" customHeight="false" outlineLevel="0" collapsed="false">
      <c r="A150" s="1"/>
      <c r="B150" s="13" t="str">
        <f aca="false">IF(D150="","","P-"&amp;TEXT(ROW()-6,"000"))</f>
        <v/>
      </c>
      <c r="C150" s="15"/>
      <c r="D150" s="15"/>
      <c r="E150" s="15"/>
      <c r="F150" s="19"/>
      <c r="G150" s="16"/>
      <c r="H150" s="15"/>
      <c r="I150" s="17" t="str">
        <f aca="false">IF(H150="","",IF(H150&lt;10,"Sí","No"))</f>
        <v/>
      </c>
      <c r="J150" s="15"/>
      <c r="K150" s="17" t="str">
        <f aca="false">IF(B150="","",COUNTIFS(Competencia!$B$7:$B$406,B150,Competencia!$G$7:$G$406,"Sí"))</f>
        <v/>
      </c>
      <c r="L150" s="15"/>
      <c r="M150" s="15"/>
      <c r="N150" s="1"/>
      <c r="O150" s="1"/>
    </row>
    <row r="151" customFormat="false" ht="15" hidden="false" customHeight="false" outlineLevel="0" collapsed="false">
      <c r="A151" s="1"/>
      <c r="B151" s="8" t="str">
        <f aca="false">IF(D151="","","P-"&amp;TEXT(ROW()-6,"000"))</f>
        <v/>
      </c>
      <c r="C151" s="10"/>
      <c r="D151" s="10"/>
      <c r="E151" s="10"/>
      <c r="F151" s="18"/>
      <c r="G151" s="11"/>
      <c r="H151" s="10"/>
      <c r="I151" s="12" t="str">
        <f aca="false">IF(H151="","",IF(H151&lt;10,"Sí","No"))</f>
        <v/>
      </c>
      <c r="J151" s="10"/>
      <c r="K151" s="12" t="str">
        <f aca="false">IF(B151="","",COUNTIFS(Competencia!$B$7:$B$406,B151,Competencia!$G$7:$G$406,"Sí"))</f>
        <v/>
      </c>
      <c r="L151" s="10"/>
      <c r="M151" s="10"/>
      <c r="N151" s="1"/>
      <c r="O151" s="1"/>
    </row>
    <row r="152" customFormat="false" ht="15" hidden="false" customHeight="false" outlineLevel="0" collapsed="false">
      <c r="A152" s="1"/>
      <c r="B152" s="13" t="str">
        <f aca="false">IF(D152="","","P-"&amp;TEXT(ROW()-6,"000"))</f>
        <v/>
      </c>
      <c r="C152" s="15"/>
      <c r="D152" s="15"/>
      <c r="E152" s="15"/>
      <c r="F152" s="19"/>
      <c r="G152" s="16"/>
      <c r="H152" s="15"/>
      <c r="I152" s="17" t="str">
        <f aca="false">IF(H152="","",IF(H152&lt;10,"Sí","No"))</f>
        <v/>
      </c>
      <c r="J152" s="15"/>
      <c r="K152" s="17" t="str">
        <f aca="false">IF(B152="","",COUNTIFS(Competencia!$B$7:$B$406,B152,Competencia!$G$7:$G$406,"Sí"))</f>
        <v/>
      </c>
      <c r="L152" s="15"/>
      <c r="M152" s="15"/>
      <c r="N152" s="1"/>
      <c r="O152" s="1"/>
    </row>
    <row r="153" customFormat="false" ht="15" hidden="false" customHeight="false" outlineLevel="0" collapsed="false">
      <c r="A153" s="1"/>
      <c r="B153" s="8" t="str">
        <f aca="false">IF(D153="","","P-"&amp;TEXT(ROW()-6,"000"))</f>
        <v/>
      </c>
      <c r="C153" s="10"/>
      <c r="D153" s="10"/>
      <c r="E153" s="10"/>
      <c r="F153" s="18"/>
      <c r="G153" s="11"/>
      <c r="H153" s="10"/>
      <c r="I153" s="12" t="str">
        <f aca="false">IF(H153="","",IF(H153&lt;10,"Sí","No"))</f>
        <v/>
      </c>
      <c r="J153" s="10"/>
      <c r="K153" s="12" t="str">
        <f aca="false">IF(B153="","",COUNTIFS(Competencia!$B$7:$B$406,B153,Competencia!$G$7:$G$406,"Sí"))</f>
        <v/>
      </c>
      <c r="L153" s="10"/>
      <c r="M153" s="10"/>
      <c r="N153" s="1"/>
      <c r="O153" s="1"/>
    </row>
    <row r="154" customFormat="false" ht="15" hidden="false" customHeight="false" outlineLevel="0" collapsed="false">
      <c r="A154" s="1"/>
      <c r="B154" s="13" t="str">
        <f aca="false">IF(D154="","","P-"&amp;TEXT(ROW()-6,"000"))</f>
        <v/>
      </c>
      <c r="C154" s="15"/>
      <c r="D154" s="15"/>
      <c r="E154" s="15"/>
      <c r="F154" s="19"/>
      <c r="G154" s="16"/>
      <c r="H154" s="15"/>
      <c r="I154" s="17" t="str">
        <f aca="false">IF(H154="","",IF(H154&lt;10,"Sí","No"))</f>
        <v/>
      </c>
      <c r="J154" s="15"/>
      <c r="K154" s="17" t="str">
        <f aca="false">IF(B154="","",COUNTIFS(Competencia!$B$7:$B$406,B154,Competencia!$G$7:$G$406,"Sí"))</f>
        <v/>
      </c>
      <c r="L154" s="15"/>
      <c r="M154" s="15"/>
      <c r="N154" s="1"/>
      <c r="O154" s="1"/>
    </row>
    <row r="155" customFormat="false" ht="15" hidden="false" customHeight="false" outlineLevel="0" collapsed="false">
      <c r="A155" s="1"/>
      <c r="B155" s="8" t="str">
        <f aca="false">IF(D155="","","P-"&amp;TEXT(ROW()-6,"000"))</f>
        <v/>
      </c>
      <c r="C155" s="10"/>
      <c r="D155" s="10"/>
      <c r="E155" s="10"/>
      <c r="F155" s="18"/>
      <c r="G155" s="11"/>
      <c r="H155" s="10"/>
      <c r="I155" s="12" t="str">
        <f aca="false">IF(H155="","",IF(H155&lt;10,"Sí","No"))</f>
        <v/>
      </c>
      <c r="J155" s="10"/>
      <c r="K155" s="12" t="str">
        <f aca="false">IF(B155="","",COUNTIFS(Competencia!$B$7:$B$406,B155,Competencia!$G$7:$G$406,"Sí"))</f>
        <v/>
      </c>
      <c r="L155" s="10"/>
      <c r="M155" s="10"/>
      <c r="N155" s="1"/>
      <c r="O155" s="1"/>
    </row>
    <row r="156" customFormat="false" ht="15" hidden="false" customHeight="false" outlineLevel="0" collapsed="false">
      <c r="A156" s="1"/>
      <c r="B156" s="13" t="str">
        <f aca="false">IF(D156="","","P-"&amp;TEXT(ROW()-6,"000"))</f>
        <v/>
      </c>
      <c r="C156" s="15"/>
      <c r="D156" s="15"/>
      <c r="E156" s="15"/>
      <c r="F156" s="19"/>
      <c r="G156" s="16"/>
      <c r="H156" s="15"/>
      <c r="I156" s="17" t="str">
        <f aca="false">IF(H156="","",IF(H156&lt;10,"Sí","No"))</f>
        <v/>
      </c>
      <c r="J156" s="15"/>
      <c r="K156" s="17" t="str">
        <f aca="false">IF(B156="","",COUNTIFS(Competencia!$B$7:$B$406,B156,Competencia!$G$7:$G$406,"Sí"))</f>
        <v/>
      </c>
      <c r="L156" s="15"/>
      <c r="M156" s="15"/>
      <c r="N156" s="1"/>
      <c r="O156" s="1"/>
    </row>
    <row r="157" customFormat="false" ht="15" hidden="false" customHeight="false" outlineLevel="0" collapsed="false">
      <c r="A157" s="1"/>
      <c r="B157" s="8" t="str">
        <f aca="false">IF(D157="","","P-"&amp;TEXT(ROW()-6,"000"))</f>
        <v/>
      </c>
      <c r="C157" s="10"/>
      <c r="D157" s="10"/>
      <c r="E157" s="10"/>
      <c r="F157" s="18"/>
      <c r="G157" s="11"/>
      <c r="H157" s="10"/>
      <c r="I157" s="12" t="str">
        <f aca="false">IF(H157="","",IF(H157&lt;10,"Sí","No"))</f>
        <v/>
      </c>
      <c r="J157" s="10"/>
      <c r="K157" s="12" t="str">
        <f aca="false">IF(B157="","",COUNTIFS(Competencia!$B$7:$B$406,B157,Competencia!$G$7:$G$406,"Sí"))</f>
        <v/>
      </c>
      <c r="L157" s="10"/>
      <c r="M157" s="10"/>
      <c r="N157" s="1"/>
      <c r="O157" s="1"/>
    </row>
    <row r="158" customFormat="false" ht="15" hidden="false" customHeight="false" outlineLevel="0" collapsed="false">
      <c r="A158" s="1"/>
      <c r="B158" s="13" t="str">
        <f aca="false">IF(D158="","","P-"&amp;TEXT(ROW()-6,"000"))</f>
        <v/>
      </c>
      <c r="C158" s="15"/>
      <c r="D158" s="15"/>
      <c r="E158" s="15"/>
      <c r="F158" s="19"/>
      <c r="G158" s="16"/>
      <c r="H158" s="15"/>
      <c r="I158" s="17" t="str">
        <f aca="false">IF(H158="","",IF(H158&lt;10,"Sí","No"))</f>
        <v/>
      </c>
      <c r="J158" s="15"/>
      <c r="K158" s="17" t="str">
        <f aca="false">IF(B158="","",COUNTIFS(Competencia!$B$7:$B$406,B158,Competencia!$G$7:$G$406,"Sí"))</f>
        <v/>
      </c>
      <c r="L158" s="15"/>
      <c r="M158" s="15"/>
      <c r="N158" s="1"/>
      <c r="O158" s="1"/>
    </row>
    <row r="159" customFormat="false" ht="15" hidden="false" customHeight="false" outlineLevel="0" collapsed="false">
      <c r="A159" s="1"/>
      <c r="B159" s="8" t="str">
        <f aca="false">IF(D159="","","P-"&amp;TEXT(ROW()-6,"000"))</f>
        <v/>
      </c>
      <c r="C159" s="10"/>
      <c r="D159" s="10"/>
      <c r="E159" s="10"/>
      <c r="F159" s="18"/>
      <c r="G159" s="11"/>
      <c r="H159" s="10"/>
      <c r="I159" s="12" t="str">
        <f aca="false">IF(H159="","",IF(H159&lt;10,"Sí","No"))</f>
        <v/>
      </c>
      <c r="J159" s="10"/>
      <c r="K159" s="12" t="str">
        <f aca="false">IF(B159="","",COUNTIFS(Competencia!$B$7:$B$406,B159,Competencia!$G$7:$G$406,"Sí"))</f>
        <v/>
      </c>
      <c r="L159" s="10"/>
      <c r="M159" s="10"/>
      <c r="N159" s="1"/>
      <c r="O159" s="1"/>
    </row>
    <row r="160" customFormat="false" ht="15" hidden="false" customHeight="false" outlineLevel="0" collapsed="false">
      <c r="A160" s="1"/>
      <c r="B160" s="13" t="str">
        <f aca="false">IF(D160="","","P-"&amp;TEXT(ROW()-6,"000"))</f>
        <v/>
      </c>
      <c r="C160" s="15"/>
      <c r="D160" s="15"/>
      <c r="E160" s="15"/>
      <c r="F160" s="19"/>
      <c r="G160" s="16"/>
      <c r="H160" s="15"/>
      <c r="I160" s="17" t="str">
        <f aca="false">IF(H160="","",IF(H160&lt;10,"Sí","No"))</f>
        <v/>
      </c>
      <c r="J160" s="15"/>
      <c r="K160" s="17" t="str">
        <f aca="false">IF(B160="","",COUNTIFS(Competencia!$B$7:$B$406,B160,Competencia!$G$7:$G$406,"Sí"))</f>
        <v/>
      </c>
      <c r="L160" s="15"/>
      <c r="M160" s="15"/>
      <c r="N160" s="1"/>
      <c r="O160" s="1"/>
    </row>
    <row r="161" customFormat="false" ht="15" hidden="false" customHeight="false" outlineLevel="0" collapsed="false">
      <c r="A161" s="1"/>
      <c r="B161" s="8" t="str">
        <f aca="false">IF(D161="","","P-"&amp;TEXT(ROW()-6,"000"))</f>
        <v/>
      </c>
      <c r="C161" s="10"/>
      <c r="D161" s="10"/>
      <c r="E161" s="10"/>
      <c r="F161" s="18"/>
      <c r="G161" s="11"/>
      <c r="H161" s="10"/>
      <c r="I161" s="12" t="str">
        <f aca="false">IF(H161="","",IF(H161&lt;10,"Sí","No"))</f>
        <v/>
      </c>
      <c r="J161" s="10"/>
      <c r="K161" s="12" t="str">
        <f aca="false">IF(B161="","",COUNTIFS(Competencia!$B$7:$B$406,B161,Competencia!$G$7:$G$406,"Sí"))</f>
        <v/>
      </c>
      <c r="L161" s="10"/>
      <c r="M161" s="10"/>
      <c r="N161" s="1"/>
      <c r="O161" s="1"/>
    </row>
    <row r="162" customFormat="false" ht="15" hidden="false" customHeight="false" outlineLevel="0" collapsed="false">
      <c r="A162" s="1"/>
      <c r="B162" s="13" t="str">
        <f aca="false">IF(D162="","","P-"&amp;TEXT(ROW()-6,"000"))</f>
        <v/>
      </c>
      <c r="C162" s="15"/>
      <c r="D162" s="15"/>
      <c r="E162" s="15"/>
      <c r="F162" s="19"/>
      <c r="G162" s="16"/>
      <c r="H162" s="15"/>
      <c r="I162" s="17" t="str">
        <f aca="false">IF(H162="","",IF(H162&lt;10,"Sí","No"))</f>
        <v/>
      </c>
      <c r="J162" s="15"/>
      <c r="K162" s="17" t="str">
        <f aca="false">IF(B162="","",COUNTIFS(Competencia!$B$7:$B$406,B162,Competencia!$G$7:$G$406,"Sí"))</f>
        <v/>
      </c>
      <c r="L162" s="15"/>
      <c r="M162" s="15"/>
      <c r="N162" s="1"/>
      <c r="O162" s="1"/>
    </row>
    <row r="163" customFormat="false" ht="15" hidden="false" customHeight="false" outlineLevel="0" collapsed="false">
      <c r="A163" s="1"/>
      <c r="B163" s="8" t="str">
        <f aca="false">IF(D163="","","P-"&amp;TEXT(ROW()-6,"000"))</f>
        <v/>
      </c>
      <c r="C163" s="10"/>
      <c r="D163" s="10"/>
      <c r="E163" s="10"/>
      <c r="F163" s="18"/>
      <c r="G163" s="11"/>
      <c r="H163" s="10"/>
      <c r="I163" s="12" t="str">
        <f aca="false">IF(H163="","",IF(H163&lt;10,"Sí","No"))</f>
        <v/>
      </c>
      <c r="J163" s="10"/>
      <c r="K163" s="12" t="str">
        <f aca="false">IF(B163="","",COUNTIFS(Competencia!$B$7:$B$406,B163,Competencia!$G$7:$G$406,"Sí"))</f>
        <v/>
      </c>
      <c r="L163" s="10"/>
      <c r="M163" s="10"/>
      <c r="N163" s="1"/>
      <c r="O163" s="1"/>
    </row>
    <row r="164" customFormat="false" ht="15" hidden="false" customHeight="false" outlineLevel="0" collapsed="false">
      <c r="A164" s="1"/>
      <c r="B164" s="13" t="str">
        <f aca="false">IF(D164="","","P-"&amp;TEXT(ROW()-6,"000"))</f>
        <v/>
      </c>
      <c r="C164" s="15"/>
      <c r="D164" s="15"/>
      <c r="E164" s="15"/>
      <c r="F164" s="19"/>
      <c r="G164" s="16"/>
      <c r="H164" s="15"/>
      <c r="I164" s="17" t="str">
        <f aca="false">IF(H164="","",IF(H164&lt;10,"Sí","No"))</f>
        <v/>
      </c>
      <c r="J164" s="15"/>
      <c r="K164" s="17" t="str">
        <f aca="false">IF(B164="","",COUNTIFS(Competencia!$B$7:$B$406,B164,Competencia!$G$7:$G$406,"Sí"))</f>
        <v/>
      </c>
      <c r="L164" s="15"/>
      <c r="M164" s="15"/>
      <c r="N164" s="1"/>
      <c r="O164" s="1"/>
    </row>
    <row r="165" customFormat="false" ht="15" hidden="false" customHeight="false" outlineLevel="0" collapsed="false">
      <c r="A165" s="1"/>
      <c r="B165" s="8" t="str">
        <f aca="false">IF(D165="","","P-"&amp;TEXT(ROW()-6,"000"))</f>
        <v/>
      </c>
      <c r="C165" s="10"/>
      <c r="D165" s="10"/>
      <c r="E165" s="10"/>
      <c r="F165" s="18"/>
      <c r="G165" s="11"/>
      <c r="H165" s="10"/>
      <c r="I165" s="12" t="str">
        <f aca="false">IF(H165="","",IF(H165&lt;10,"Sí","No"))</f>
        <v/>
      </c>
      <c r="J165" s="10"/>
      <c r="K165" s="12" t="str">
        <f aca="false">IF(B165="","",COUNTIFS(Competencia!$B$7:$B$406,B165,Competencia!$G$7:$G$406,"Sí"))</f>
        <v/>
      </c>
      <c r="L165" s="10"/>
      <c r="M165" s="10"/>
      <c r="N165" s="1"/>
      <c r="O165" s="1"/>
    </row>
    <row r="166" customFormat="false" ht="15" hidden="false" customHeight="false" outlineLevel="0" collapsed="false">
      <c r="A166" s="1"/>
      <c r="B166" s="13" t="str">
        <f aca="false">IF(D166="","","P-"&amp;TEXT(ROW()-6,"000"))</f>
        <v/>
      </c>
      <c r="C166" s="15"/>
      <c r="D166" s="15"/>
      <c r="E166" s="15"/>
      <c r="F166" s="19"/>
      <c r="G166" s="16"/>
      <c r="H166" s="15"/>
      <c r="I166" s="17" t="str">
        <f aca="false">IF(H166="","",IF(H166&lt;10,"Sí","No"))</f>
        <v/>
      </c>
      <c r="J166" s="15"/>
      <c r="K166" s="17" t="str">
        <f aca="false">IF(B166="","",COUNTIFS(Competencia!$B$7:$B$406,B166,Competencia!$G$7:$G$406,"Sí"))</f>
        <v/>
      </c>
      <c r="L166" s="15"/>
      <c r="M166" s="15"/>
      <c r="N166" s="1"/>
      <c r="O166" s="1"/>
    </row>
    <row r="167" customFormat="false" ht="15" hidden="false" customHeight="false" outlineLevel="0" collapsed="false">
      <c r="A167" s="1"/>
      <c r="B167" s="8" t="str">
        <f aca="false">IF(D167="","","P-"&amp;TEXT(ROW()-6,"000"))</f>
        <v/>
      </c>
      <c r="C167" s="10"/>
      <c r="D167" s="10"/>
      <c r="E167" s="10"/>
      <c r="F167" s="18"/>
      <c r="G167" s="11"/>
      <c r="H167" s="10"/>
      <c r="I167" s="12" t="str">
        <f aca="false">IF(H167="","",IF(H167&lt;10,"Sí","No"))</f>
        <v/>
      </c>
      <c r="J167" s="10"/>
      <c r="K167" s="12" t="str">
        <f aca="false">IF(B167="","",COUNTIFS(Competencia!$B$7:$B$406,B167,Competencia!$G$7:$G$406,"Sí"))</f>
        <v/>
      </c>
      <c r="L167" s="10"/>
      <c r="M167" s="10"/>
      <c r="N167" s="1"/>
      <c r="O167" s="1"/>
    </row>
    <row r="168" customFormat="false" ht="15" hidden="false" customHeight="false" outlineLevel="0" collapsed="false">
      <c r="A168" s="1"/>
      <c r="B168" s="13" t="str">
        <f aca="false">IF(D168="","","P-"&amp;TEXT(ROW()-6,"000"))</f>
        <v/>
      </c>
      <c r="C168" s="15"/>
      <c r="D168" s="15"/>
      <c r="E168" s="15"/>
      <c r="F168" s="19"/>
      <c r="G168" s="16"/>
      <c r="H168" s="15"/>
      <c r="I168" s="17" t="str">
        <f aca="false">IF(H168="","",IF(H168&lt;10,"Sí","No"))</f>
        <v/>
      </c>
      <c r="J168" s="15"/>
      <c r="K168" s="17" t="str">
        <f aca="false">IF(B168="","",COUNTIFS(Competencia!$B$7:$B$406,B168,Competencia!$G$7:$G$406,"Sí"))</f>
        <v/>
      </c>
      <c r="L168" s="15"/>
      <c r="M168" s="15"/>
      <c r="N168" s="1"/>
      <c r="O168" s="1"/>
    </row>
    <row r="169" customFormat="false" ht="15" hidden="false" customHeight="false" outlineLevel="0" collapsed="false">
      <c r="A169" s="1"/>
      <c r="B169" s="8" t="str">
        <f aca="false">IF(D169="","","P-"&amp;TEXT(ROW()-6,"000"))</f>
        <v/>
      </c>
      <c r="C169" s="10"/>
      <c r="D169" s="10"/>
      <c r="E169" s="10"/>
      <c r="F169" s="18"/>
      <c r="G169" s="11"/>
      <c r="H169" s="10"/>
      <c r="I169" s="12" t="str">
        <f aca="false">IF(H169="","",IF(H169&lt;10,"Sí","No"))</f>
        <v/>
      </c>
      <c r="J169" s="10"/>
      <c r="K169" s="12" t="str">
        <f aca="false">IF(B169="","",COUNTIFS(Competencia!$B$7:$B$406,B169,Competencia!$G$7:$G$406,"Sí"))</f>
        <v/>
      </c>
      <c r="L169" s="10"/>
      <c r="M169" s="10"/>
      <c r="N169" s="1"/>
      <c r="O169" s="1"/>
    </row>
    <row r="170" customFormat="false" ht="15" hidden="false" customHeight="false" outlineLevel="0" collapsed="false">
      <c r="A170" s="1"/>
      <c r="B170" s="13" t="str">
        <f aca="false">IF(D170="","","P-"&amp;TEXT(ROW()-6,"000"))</f>
        <v/>
      </c>
      <c r="C170" s="15"/>
      <c r="D170" s="15"/>
      <c r="E170" s="15"/>
      <c r="F170" s="19"/>
      <c r="G170" s="16"/>
      <c r="H170" s="15"/>
      <c r="I170" s="17" t="str">
        <f aca="false">IF(H170="","",IF(H170&lt;10,"Sí","No"))</f>
        <v/>
      </c>
      <c r="J170" s="15"/>
      <c r="K170" s="17" t="str">
        <f aca="false">IF(B170="","",COUNTIFS(Competencia!$B$7:$B$406,B170,Competencia!$G$7:$G$406,"Sí"))</f>
        <v/>
      </c>
      <c r="L170" s="15"/>
      <c r="M170" s="15"/>
      <c r="N170" s="1"/>
      <c r="O170" s="1"/>
    </row>
    <row r="171" customFormat="false" ht="15" hidden="false" customHeight="false" outlineLevel="0" collapsed="false">
      <c r="A171" s="1"/>
      <c r="B171" s="8" t="str">
        <f aca="false">IF(D171="","","P-"&amp;TEXT(ROW()-6,"000"))</f>
        <v/>
      </c>
      <c r="C171" s="10"/>
      <c r="D171" s="10"/>
      <c r="E171" s="10"/>
      <c r="F171" s="18"/>
      <c r="G171" s="11"/>
      <c r="H171" s="10"/>
      <c r="I171" s="12" t="str">
        <f aca="false">IF(H171="","",IF(H171&lt;10,"Sí","No"))</f>
        <v/>
      </c>
      <c r="J171" s="10"/>
      <c r="K171" s="12" t="str">
        <f aca="false">IF(B171="","",COUNTIFS(Competencia!$B$7:$B$406,B171,Competencia!$G$7:$G$406,"Sí"))</f>
        <v/>
      </c>
      <c r="L171" s="10"/>
      <c r="M171" s="10"/>
      <c r="N171" s="1"/>
      <c r="O171" s="1"/>
    </row>
    <row r="172" customFormat="false" ht="15" hidden="false" customHeight="false" outlineLevel="0" collapsed="false">
      <c r="A172" s="1"/>
      <c r="B172" s="13" t="str">
        <f aca="false">IF(D172="","","P-"&amp;TEXT(ROW()-6,"000"))</f>
        <v/>
      </c>
      <c r="C172" s="15"/>
      <c r="D172" s="15"/>
      <c r="E172" s="15"/>
      <c r="F172" s="19"/>
      <c r="G172" s="16"/>
      <c r="H172" s="15"/>
      <c r="I172" s="17" t="str">
        <f aca="false">IF(H172="","",IF(H172&lt;10,"Sí","No"))</f>
        <v/>
      </c>
      <c r="J172" s="15"/>
      <c r="K172" s="17" t="str">
        <f aca="false">IF(B172="","",COUNTIFS(Competencia!$B$7:$B$406,B172,Competencia!$G$7:$G$406,"Sí"))</f>
        <v/>
      </c>
      <c r="L172" s="15"/>
      <c r="M172" s="15"/>
      <c r="N172" s="1"/>
      <c r="O172" s="1"/>
    </row>
    <row r="173" customFormat="false" ht="15" hidden="false" customHeight="false" outlineLevel="0" collapsed="false">
      <c r="A173" s="1"/>
      <c r="B173" s="8" t="str">
        <f aca="false">IF(D173="","","P-"&amp;TEXT(ROW()-6,"000"))</f>
        <v/>
      </c>
      <c r="C173" s="10"/>
      <c r="D173" s="10"/>
      <c r="E173" s="10"/>
      <c r="F173" s="18"/>
      <c r="G173" s="11"/>
      <c r="H173" s="10"/>
      <c r="I173" s="12" t="str">
        <f aca="false">IF(H173="","",IF(H173&lt;10,"Sí","No"))</f>
        <v/>
      </c>
      <c r="J173" s="10"/>
      <c r="K173" s="12" t="str">
        <f aca="false">IF(B173="","",COUNTIFS(Competencia!$B$7:$B$406,B173,Competencia!$G$7:$G$406,"Sí"))</f>
        <v/>
      </c>
      <c r="L173" s="10"/>
      <c r="M173" s="10"/>
      <c r="N173" s="1"/>
      <c r="O173" s="1"/>
    </row>
    <row r="174" customFormat="false" ht="15" hidden="false" customHeight="false" outlineLevel="0" collapsed="false">
      <c r="A174" s="1"/>
      <c r="B174" s="13" t="str">
        <f aca="false">IF(D174="","","P-"&amp;TEXT(ROW()-6,"000"))</f>
        <v/>
      </c>
      <c r="C174" s="15"/>
      <c r="D174" s="15"/>
      <c r="E174" s="15"/>
      <c r="F174" s="19"/>
      <c r="G174" s="16"/>
      <c r="H174" s="15"/>
      <c r="I174" s="17" t="str">
        <f aca="false">IF(H174="","",IF(H174&lt;10,"Sí","No"))</f>
        <v/>
      </c>
      <c r="J174" s="15"/>
      <c r="K174" s="17" t="str">
        <f aca="false">IF(B174="","",COUNTIFS(Competencia!$B$7:$B$406,B174,Competencia!$G$7:$G$406,"Sí"))</f>
        <v/>
      </c>
      <c r="L174" s="15"/>
      <c r="M174" s="15"/>
      <c r="N174" s="1"/>
      <c r="O174" s="1"/>
    </row>
    <row r="175" customFormat="false" ht="15" hidden="false" customHeight="false" outlineLevel="0" collapsed="false">
      <c r="A175" s="1"/>
      <c r="B175" s="8" t="str">
        <f aca="false">IF(D175="","","P-"&amp;TEXT(ROW()-6,"000"))</f>
        <v/>
      </c>
      <c r="C175" s="10"/>
      <c r="D175" s="10"/>
      <c r="E175" s="10"/>
      <c r="F175" s="18"/>
      <c r="G175" s="11"/>
      <c r="H175" s="10"/>
      <c r="I175" s="12" t="str">
        <f aca="false">IF(H175="","",IF(H175&lt;10,"Sí","No"))</f>
        <v/>
      </c>
      <c r="J175" s="10"/>
      <c r="K175" s="12" t="str">
        <f aca="false">IF(B175="","",COUNTIFS(Competencia!$B$7:$B$406,B175,Competencia!$G$7:$G$406,"Sí"))</f>
        <v/>
      </c>
      <c r="L175" s="10"/>
      <c r="M175" s="10"/>
      <c r="N175" s="1"/>
      <c r="O175" s="1"/>
    </row>
    <row r="176" customFormat="false" ht="15" hidden="false" customHeight="false" outlineLevel="0" collapsed="false">
      <c r="A176" s="1"/>
      <c r="B176" s="13" t="str">
        <f aca="false">IF(D176="","","P-"&amp;TEXT(ROW()-6,"000"))</f>
        <v/>
      </c>
      <c r="C176" s="15"/>
      <c r="D176" s="15"/>
      <c r="E176" s="15"/>
      <c r="F176" s="19"/>
      <c r="G176" s="16"/>
      <c r="H176" s="15"/>
      <c r="I176" s="17" t="str">
        <f aca="false">IF(H176="","",IF(H176&lt;10,"Sí","No"))</f>
        <v/>
      </c>
      <c r="J176" s="15"/>
      <c r="K176" s="17" t="str">
        <f aca="false">IF(B176="","",COUNTIFS(Competencia!$B$7:$B$406,B176,Competencia!$G$7:$G$406,"Sí"))</f>
        <v/>
      </c>
      <c r="L176" s="15"/>
      <c r="M176" s="15"/>
      <c r="N176" s="1"/>
      <c r="O176" s="1"/>
    </row>
    <row r="177" customFormat="false" ht="15" hidden="false" customHeight="false" outlineLevel="0" collapsed="false">
      <c r="A177" s="1"/>
      <c r="B177" s="8" t="str">
        <f aca="false">IF(D177="","","P-"&amp;TEXT(ROW()-6,"000"))</f>
        <v/>
      </c>
      <c r="C177" s="10"/>
      <c r="D177" s="10"/>
      <c r="E177" s="10"/>
      <c r="F177" s="18"/>
      <c r="G177" s="11"/>
      <c r="H177" s="10"/>
      <c r="I177" s="12" t="str">
        <f aca="false">IF(H177="","",IF(H177&lt;10,"Sí","No"))</f>
        <v/>
      </c>
      <c r="J177" s="10"/>
      <c r="K177" s="12" t="str">
        <f aca="false">IF(B177="","",COUNTIFS(Competencia!$B$7:$B$406,B177,Competencia!$G$7:$G$406,"Sí"))</f>
        <v/>
      </c>
      <c r="L177" s="10"/>
      <c r="M177" s="10"/>
      <c r="N177" s="1"/>
      <c r="O177" s="1"/>
    </row>
    <row r="178" customFormat="false" ht="15" hidden="false" customHeight="false" outlineLevel="0" collapsed="false">
      <c r="A178" s="1"/>
      <c r="B178" s="13" t="str">
        <f aca="false">IF(D178="","","P-"&amp;TEXT(ROW()-6,"000"))</f>
        <v/>
      </c>
      <c r="C178" s="15"/>
      <c r="D178" s="15"/>
      <c r="E178" s="15"/>
      <c r="F178" s="19"/>
      <c r="G178" s="16"/>
      <c r="H178" s="15"/>
      <c r="I178" s="17" t="str">
        <f aca="false">IF(H178="","",IF(H178&lt;10,"Sí","No"))</f>
        <v/>
      </c>
      <c r="J178" s="15"/>
      <c r="K178" s="17" t="str">
        <f aca="false">IF(B178="","",COUNTIFS(Competencia!$B$7:$B$406,B178,Competencia!$G$7:$G$406,"Sí"))</f>
        <v/>
      </c>
      <c r="L178" s="15"/>
      <c r="M178" s="15"/>
      <c r="N178" s="1"/>
      <c r="O178" s="1"/>
    </row>
    <row r="179" customFormat="false" ht="15" hidden="false" customHeight="false" outlineLevel="0" collapsed="false">
      <c r="A179" s="1"/>
      <c r="B179" s="8" t="str">
        <f aca="false">IF(D179="","","P-"&amp;TEXT(ROW()-6,"000"))</f>
        <v/>
      </c>
      <c r="C179" s="10"/>
      <c r="D179" s="10"/>
      <c r="E179" s="10"/>
      <c r="F179" s="18"/>
      <c r="G179" s="11"/>
      <c r="H179" s="10"/>
      <c r="I179" s="12" t="str">
        <f aca="false">IF(H179="","",IF(H179&lt;10,"Sí","No"))</f>
        <v/>
      </c>
      <c r="J179" s="10"/>
      <c r="K179" s="12" t="str">
        <f aca="false">IF(B179="","",COUNTIFS(Competencia!$B$7:$B$406,B179,Competencia!$G$7:$G$406,"Sí"))</f>
        <v/>
      </c>
      <c r="L179" s="10"/>
      <c r="M179" s="10"/>
      <c r="N179" s="1"/>
      <c r="O179" s="1"/>
    </row>
    <row r="180" customFormat="false" ht="15" hidden="false" customHeight="false" outlineLevel="0" collapsed="false">
      <c r="A180" s="1"/>
      <c r="B180" s="13" t="str">
        <f aca="false">IF(D180="","","P-"&amp;TEXT(ROW()-6,"000"))</f>
        <v/>
      </c>
      <c r="C180" s="15"/>
      <c r="D180" s="15"/>
      <c r="E180" s="15"/>
      <c r="F180" s="19"/>
      <c r="G180" s="16"/>
      <c r="H180" s="15"/>
      <c r="I180" s="17" t="str">
        <f aca="false">IF(H180="","",IF(H180&lt;10,"Sí","No"))</f>
        <v/>
      </c>
      <c r="J180" s="15"/>
      <c r="K180" s="17" t="str">
        <f aca="false">IF(B180="","",COUNTIFS(Competencia!$B$7:$B$406,B180,Competencia!$G$7:$G$406,"Sí"))</f>
        <v/>
      </c>
      <c r="L180" s="15"/>
      <c r="M180" s="15"/>
      <c r="N180" s="1"/>
      <c r="O180" s="1"/>
    </row>
    <row r="181" customFormat="false" ht="15" hidden="false" customHeight="false" outlineLevel="0" collapsed="false">
      <c r="A181" s="1"/>
      <c r="B181" s="8" t="str">
        <f aca="false">IF(D181="","","P-"&amp;TEXT(ROW()-6,"000"))</f>
        <v/>
      </c>
      <c r="C181" s="10"/>
      <c r="D181" s="10"/>
      <c r="E181" s="10"/>
      <c r="F181" s="18"/>
      <c r="G181" s="11"/>
      <c r="H181" s="10"/>
      <c r="I181" s="12" t="str">
        <f aca="false">IF(H181="","",IF(H181&lt;10,"Sí","No"))</f>
        <v/>
      </c>
      <c r="J181" s="10"/>
      <c r="K181" s="12" t="str">
        <f aca="false">IF(B181="","",COUNTIFS(Competencia!$B$7:$B$406,B181,Competencia!$G$7:$G$406,"Sí"))</f>
        <v/>
      </c>
      <c r="L181" s="10"/>
      <c r="M181" s="10"/>
      <c r="N181" s="1"/>
      <c r="O181" s="1"/>
    </row>
    <row r="182" customFormat="false" ht="15" hidden="false" customHeight="false" outlineLevel="0" collapsed="false">
      <c r="A182" s="1"/>
      <c r="B182" s="13" t="str">
        <f aca="false">IF(D182="","","P-"&amp;TEXT(ROW()-6,"000"))</f>
        <v/>
      </c>
      <c r="C182" s="15"/>
      <c r="D182" s="15"/>
      <c r="E182" s="15"/>
      <c r="F182" s="19"/>
      <c r="G182" s="16"/>
      <c r="H182" s="15"/>
      <c r="I182" s="17" t="str">
        <f aca="false">IF(H182="","",IF(H182&lt;10,"Sí","No"))</f>
        <v/>
      </c>
      <c r="J182" s="15"/>
      <c r="K182" s="17" t="str">
        <f aca="false">IF(B182="","",COUNTIFS(Competencia!$B$7:$B$406,B182,Competencia!$G$7:$G$406,"Sí"))</f>
        <v/>
      </c>
      <c r="L182" s="15"/>
      <c r="M182" s="15"/>
      <c r="N182" s="1"/>
      <c r="O182" s="1"/>
    </row>
    <row r="183" customFormat="false" ht="15" hidden="false" customHeight="false" outlineLevel="0" collapsed="false">
      <c r="A183" s="1"/>
      <c r="B183" s="8" t="str">
        <f aca="false">IF(D183="","","P-"&amp;TEXT(ROW()-6,"000"))</f>
        <v/>
      </c>
      <c r="C183" s="10"/>
      <c r="D183" s="10"/>
      <c r="E183" s="10"/>
      <c r="F183" s="18"/>
      <c r="G183" s="11"/>
      <c r="H183" s="10"/>
      <c r="I183" s="12" t="str">
        <f aca="false">IF(H183="","",IF(H183&lt;10,"Sí","No"))</f>
        <v/>
      </c>
      <c r="J183" s="10"/>
      <c r="K183" s="12" t="str">
        <f aca="false">IF(B183="","",COUNTIFS(Competencia!$B$7:$B$406,B183,Competencia!$G$7:$G$406,"Sí"))</f>
        <v/>
      </c>
      <c r="L183" s="10"/>
      <c r="M183" s="10"/>
      <c r="N183" s="1"/>
      <c r="O183" s="1"/>
    </row>
    <row r="184" customFormat="false" ht="15" hidden="false" customHeight="false" outlineLevel="0" collapsed="false">
      <c r="A184" s="1"/>
      <c r="B184" s="13" t="str">
        <f aca="false">IF(D184="","","P-"&amp;TEXT(ROW()-6,"000"))</f>
        <v/>
      </c>
      <c r="C184" s="15"/>
      <c r="D184" s="15"/>
      <c r="E184" s="15"/>
      <c r="F184" s="19"/>
      <c r="G184" s="16"/>
      <c r="H184" s="15"/>
      <c r="I184" s="17" t="str">
        <f aca="false">IF(H184="","",IF(H184&lt;10,"Sí","No"))</f>
        <v/>
      </c>
      <c r="J184" s="15"/>
      <c r="K184" s="17" t="str">
        <f aca="false">IF(B184="","",COUNTIFS(Competencia!$B$7:$B$406,B184,Competencia!$G$7:$G$406,"Sí"))</f>
        <v/>
      </c>
      <c r="L184" s="15"/>
      <c r="M184" s="15"/>
      <c r="N184" s="1"/>
      <c r="O184" s="1"/>
    </row>
    <row r="185" customFormat="false" ht="15" hidden="false" customHeight="false" outlineLevel="0" collapsed="false">
      <c r="A185" s="1"/>
      <c r="B185" s="8" t="str">
        <f aca="false">IF(D185="","","P-"&amp;TEXT(ROW()-6,"000"))</f>
        <v/>
      </c>
      <c r="C185" s="10"/>
      <c r="D185" s="10"/>
      <c r="E185" s="10"/>
      <c r="F185" s="18"/>
      <c r="G185" s="11"/>
      <c r="H185" s="10"/>
      <c r="I185" s="12" t="str">
        <f aca="false">IF(H185="","",IF(H185&lt;10,"Sí","No"))</f>
        <v/>
      </c>
      <c r="J185" s="10"/>
      <c r="K185" s="12" t="str">
        <f aca="false">IF(B185="","",COUNTIFS(Competencia!$B$7:$B$406,B185,Competencia!$G$7:$G$406,"Sí"))</f>
        <v/>
      </c>
      <c r="L185" s="10"/>
      <c r="M185" s="10"/>
      <c r="N185" s="1"/>
      <c r="O185" s="1"/>
    </row>
    <row r="186" customFormat="false" ht="15" hidden="false" customHeight="false" outlineLevel="0" collapsed="false">
      <c r="A186" s="1"/>
      <c r="B186" s="13" t="str">
        <f aca="false">IF(D186="","","P-"&amp;TEXT(ROW()-6,"000"))</f>
        <v/>
      </c>
      <c r="C186" s="15"/>
      <c r="D186" s="15"/>
      <c r="E186" s="15"/>
      <c r="F186" s="19"/>
      <c r="G186" s="16"/>
      <c r="H186" s="15"/>
      <c r="I186" s="17" t="str">
        <f aca="false">IF(H186="","",IF(H186&lt;10,"Sí","No"))</f>
        <v/>
      </c>
      <c r="J186" s="15"/>
      <c r="K186" s="17" t="str">
        <f aca="false">IF(B186="","",COUNTIFS(Competencia!$B$7:$B$406,B186,Competencia!$G$7:$G$406,"Sí"))</f>
        <v/>
      </c>
      <c r="L186" s="15"/>
      <c r="M186" s="15"/>
      <c r="N186" s="1"/>
      <c r="O186" s="1"/>
    </row>
    <row r="187" customFormat="false" ht="15" hidden="false" customHeight="false" outlineLevel="0" collapsed="false">
      <c r="A187" s="1"/>
      <c r="B187" s="8" t="str">
        <f aca="false">IF(D187="","","P-"&amp;TEXT(ROW()-6,"000"))</f>
        <v/>
      </c>
      <c r="C187" s="10"/>
      <c r="D187" s="10"/>
      <c r="E187" s="10"/>
      <c r="F187" s="18"/>
      <c r="G187" s="11"/>
      <c r="H187" s="10"/>
      <c r="I187" s="12" t="str">
        <f aca="false">IF(H187="","",IF(H187&lt;10,"Sí","No"))</f>
        <v/>
      </c>
      <c r="J187" s="10"/>
      <c r="K187" s="12" t="str">
        <f aca="false">IF(B187="","",COUNTIFS(Competencia!$B$7:$B$406,B187,Competencia!$G$7:$G$406,"Sí"))</f>
        <v/>
      </c>
      <c r="L187" s="10"/>
      <c r="M187" s="10"/>
      <c r="N187" s="1"/>
      <c r="O187" s="1"/>
    </row>
    <row r="188" customFormat="false" ht="15" hidden="false" customHeight="false" outlineLevel="0" collapsed="false">
      <c r="A188" s="1"/>
      <c r="B188" s="13" t="str">
        <f aca="false">IF(D188="","","P-"&amp;TEXT(ROW()-6,"000"))</f>
        <v/>
      </c>
      <c r="C188" s="15"/>
      <c r="D188" s="15"/>
      <c r="E188" s="15"/>
      <c r="F188" s="19"/>
      <c r="G188" s="16"/>
      <c r="H188" s="15"/>
      <c r="I188" s="17" t="str">
        <f aca="false">IF(H188="","",IF(H188&lt;10,"Sí","No"))</f>
        <v/>
      </c>
      <c r="J188" s="15"/>
      <c r="K188" s="17" t="str">
        <f aca="false">IF(B188="","",COUNTIFS(Competencia!$B$7:$B$406,B188,Competencia!$G$7:$G$406,"Sí"))</f>
        <v/>
      </c>
      <c r="L188" s="15"/>
      <c r="M188" s="15"/>
      <c r="N188" s="1"/>
      <c r="O188" s="1"/>
    </row>
    <row r="189" customFormat="false" ht="15" hidden="false" customHeight="false" outlineLevel="0" collapsed="false">
      <c r="A189" s="1"/>
      <c r="B189" s="8" t="str">
        <f aca="false">IF(D189="","","P-"&amp;TEXT(ROW()-6,"000"))</f>
        <v/>
      </c>
      <c r="C189" s="10"/>
      <c r="D189" s="10"/>
      <c r="E189" s="10"/>
      <c r="F189" s="18"/>
      <c r="G189" s="11"/>
      <c r="H189" s="10"/>
      <c r="I189" s="12" t="str">
        <f aca="false">IF(H189="","",IF(H189&lt;10,"Sí","No"))</f>
        <v/>
      </c>
      <c r="J189" s="10"/>
      <c r="K189" s="12" t="str">
        <f aca="false">IF(B189="","",COUNTIFS(Competencia!$B$7:$B$406,B189,Competencia!$G$7:$G$406,"Sí"))</f>
        <v/>
      </c>
      <c r="L189" s="10"/>
      <c r="M189" s="10"/>
      <c r="N189" s="1"/>
      <c r="O189" s="1"/>
    </row>
    <row r="190" customFormat="false" ht="15" hidden="false" customHeight="false" outlineLevel="0" collapsed="false">
      <c r="A190" s="1"/>
      <c r="B190" s="13" t="str">
        <f aca="false">IF(D190="","","P-"&amp;TEXT(ROW()-6,"000"))</f>
        <v/>
      </c>
      <c r="C190" s="15"/>
      <c r="D190" s="15"/>
      <c r="E190" s="15"/>
      <c r="F190" s="19"/>
      <c r="G190" s="16"/>
      <c r="H190" s="15"/>
      <c r="I190" s="17" t="str">
        <f aca="false">IF(H190="","",IF(H190&lt;10,"Sí","No"))</f>
        <v/>
      </c>
      <c r="J190" s="15"/>
      <c r="K190" s="17" t="str">
        <f aca="false">IF(B190="","",COUNTIFS(Competencia!$B$7:$B$406,B190,Competencia!$G$7:$G$406,"Sí"))</f>
        <v/>
      </c>
      <c r="L190" s="15"/>
      <c r="M190" s="15"/>
      <c r="N190" s="1"/>
      <c r="O190" s="1"/>
    </row>
    <row r="191" customFormat="false" ht="15" hidden="false" customHeight="false" outlineLevel="0" collapsed="false">
      <c r="A191" s="1"/>
      <c r="B191" s="8" t="str">
        <f aca="false">IF(D191="","","P-"&amp;TEXT(ROW()-6,"000"))</f>
        <v/>
      </c>
      <c r="C191" s="10"/>
      <c r="D191" s="10"/>
      <c r="E191" s="10"/>
      <c r="F191" s="18"/>
      <c r="G191" s="11"/>
      <c r="H191" s="10"/>
      <c r="I191" s="12" t="str">
        <f aca="false">IF(H191="","",IF(H191&lt;10,"Sí","No"))</f>
        <v/>
      </c>
      <c r="J191" s="10"/>
      <c r="K191" s="12" t="str">
        <f aca="false">IF(B191="","",COUNTIFS(Competencia!$B$7:$B$406,B191,Competencia!$G$7:$G$406,"Sí"))</f>
        <v/>
      </c>
      <c r="L191" s="10"/>
      <c r="M191" s="10"/>
      <c r="N191" s="1"/>
      <c r="O191" s="1"/>
    </row>
    <row r="192" customFormat="false" ht="15" hidden="false" customHeight="false" outlineLevel="0" collapsed="false">
      <c r="A192" s="1"/>
      <c r="B192" s="13" t="str">
        <f aca="false">IF(D192="","","P-"&amp;TEXT(ROW()-6,"000"))</f>
        <v/>
      </c>
      <c r="C192" s="15"/>
      <c r="D192" s="15"/>
      <c r="E192" s="15"/>
      <c r="F192" s="19"/>
      <c r="G192" s="16"/>
      <c r="H192" s="15"/>
      <c r="I192" s="17" t="str">
        <f aca="false">IF(H192="","",IF(H192&lt;10,"Sí","No"))</f>
        <v/>
      </c>
      <c r="J192" s="15"/>
      <c r="K192" s="17" t="str">
        <f aca="false">IF(B192="","",COUNTIFS(Competencia!$B$7:$B$406,B192,Competencia!$G$7:$G$406,"Sí"))</f>
        <v/>
      </c>
      <c r="L192" s="15"/>
      <c r="M192" s="15"/>
      <c r="N192" s="1"/>
      <c r="O192" s="1"/>
    </row>
    <row r="193" customFormat="false" ht="15" hidden="false" customHeight="false" outlineLevel="0" collapsed="false">
      <c r="A193" s="1"/>
      <c r="B193" s="8" t="str">
        <f aca="false">IF(D193="","","P-"&amp;TEXT(ROW()-6,"000"))</f>
        <v/>
      </c>
      <c r="C193" s="10"/>
      <c r="D193" s="10"/>
      <c r="E193" s="10"/>
      <c r="F193" s="18"/>
      <c r="G193" s="11"/>
      <c r="H193" s="10"/>
      <c r="I193" s="12" t="str">
        <f aca="false">IF(H193="","",IF(H193&lt;10,"Sí","No"))</f>
        <v/>
      </c>
      <c r="J193" s="10"/>
      <c r="K193" s="12" t="str">
        <f aca="false">IF(B193="","",COUNTIFS(Competencia!$B$7:$B$406,B193,Competencia!$G$7:$G$406,"Sí"))</f>
        <v/>
      </c>
      <c r="L193" s="10"/>
      <c r="M193" s="10"/>
      <c r="N193" s="1"/>
      <c r="O193" s="1"/>
    </row>
    <row r="194" customFormat="false" ht="15" hidden="false" customHeight="false" outlineLevel="0" collapsed="false">
      <c r="A194" s="1"/>
      <c r="B194" s="13" t="str">
        <f aca="false">IF(D194="","","P-"&amp;TEXT(ROW()-6,"000"))</f>
        <v/>
      </c>
      <c r="C194" s="15"/>
      <c r="D194" s="15"/>
      <c r="E194" s="15"/>
      <c r="F194" s="19"/>
      <c r="G194" s="16"/>
      <c r="H194" s="15"/>
      <c r="I194" s="17" t="str">
        <f aca="false">IF(H194="","",IF(H194&lt;10,"Sí","No"))</f>
        <v/>
      </c>
      <c r="J194" s="15"/>
      <c r="K194" s="17" t="str">
        <f aca="false">IF(B194="","",COUNTIFS(Competencia!$B$7:$B$406,B194,Competencia!$G$7:$G$406,"Sí"))</f>
        <v/>
      </c>
      <c r="L194" s="15"/>
      <c r="M194" s="15"/>
      <c r="N194" s="1"/>
      <c r="O194" s="1"/>
    </row>
    <row r="195" customFormat="false" ht="15" hidden="false" customHeight="false" outlineLevel="0" collapsed="false">
      <c r="A195" s="1"/>
      <c r="B195" s="8" t="str">
        <f aca="false">IF(D195="","","P-"&amp;TEXT(ROW()-6,"000"))</f>
        <v/>
      </c>
      <c r="C195" s="10"/>
      <c r="D195" s="10"/>
      <c r="E195" s="10"/>
      <c r="F195" s="18"/>
      <c r="G195" s="11"/>
      <c r="H195" s="10"/>
      <c r="I195" s="12" t="str">
        <f aca="false">IF(H195="","",IF(H195&lt;10,"Sí","No"))</f>
        <v/>
      </c>
      <c r="J195" s="10"/>
      <c r="K195" s="12" t="str">
        <f aca="false">IF(B195="","",COUNTIFS(Competencia!$B$7:$B$406,B195,Competencia!$G$7:$G$406,"Sí"))</f>
        <v/>
      </c>
      <c r="L195" s="10"/>
      <c r="M195" s="10"/>
      <c r="N195" s="1"/>
      <c r="O195" s="1"/>
    </row>
    <row r="196" customFormat="false" ht="15" hidden="false" customHeight="false" outlineLevel="0" collapsed="false">
      <c r="A196" s="1"/>
      <c r="B196" s="13" t="str">
        <f aca="false">IF(D196="","","P-"&amp;TEXT(ROW()-6,"000"))</f>
        <v/>
      </c>
      <c r="C196" s="15"/>
      <c r="D196" s="15"/>
      <c r="E196" s="15"/>
      <c r="F196" s="19"/>
      <c r="G196" s="16"/>
      <c r="H196" s="15"/>
      <c r="I196" s="17" t="str">
        <f aca="false">IF(H196="","",IF(H196&lt;10,"Sí","No"))</f>
        <v/>
      </c>
      <c r="J196" s="15"/>
      <c r="K196" s="17" t="str">
        <f aca="false">IF(B196="","",COUNTIFS(Competencia!$B$7:$B$406,B196,Competencia!$G$7:$G$406,"Sí"))</f>
        <v/>
      </c>
      <c r="L196" s="15"/>
      <c r="M196" s="15"/>
      <c r="N196" s="1"/>
      <c r="O196" s="1"/>
    </row>
    <row r="197" customFormat="false" ht="15" hidden="false" customHeight="false" outlineLevel="0" collapsed="false">
      <c r="A197" s="1"/>
      <c r="B197" s="8" t="str">
        <f aca="false">IF(D197="","","P-"&amp;TEXT(ROW()-6,"000"))</f>
        <v/>
      </c>
      <c r="C197" s="10"/>
      <c r="D197" s="10"/>
      <c r="E197" s="10"/>
      <c r="F197" s="18"/>
      <c r="G197" s="11"/>
      <c r="H197" s="10"/>
      <c r="I197" s="12" t="str">
        <f aca="false">IF(H197="","",IF(H197&lt;10,"Sí","No"))</f>
        <v/>
      </c>
      <c r="J197" s="10"/>
      <c r="K197" s="12" t="str">
        <f aca="false">IF(B197="","",COUNTIFS(Competencia!$B$7:$B$406,B197,Competencia!$G$7:$G$406,"Sí"))</f>
        <v/>
      </c>
      <c r="L197" s="10"/>
      <c r="M197" s="10"/>
      <c r="N197" s="1"/>
      <c r="O197" s="1"/>
    </row>
    <row r="198" customFormat="false" ht="15" hidden="false" customHeight="false" outlineLevel="0" collapsed="false">
      <c r="A198" s="1"/>
      <c r="B198" s="13" t="str">
        <f aca="false">IF(D198="","","P-"&amp;TEXT(ROW()-6,"000"))</f>
        <v/>
      </c>
      <c r="C198" s="15"/>
      <c r="D198" s="15"/>
      <c r="E198" s="15"/>
      <c r="F198" s="19"/>
      <c r="G198" s="16"/>
      <c r="H198" s="15"/>
      <c r="I198" s="17" t="str">
        <f aca="false">IF(H198="","",IF(H198&lt;10,"Sí","No"))</f>
        <v/>
      </c>
      <c r="J198" s="15"/>
      <c r="K198" s="17" t="str">
        <f aca="false">IF(B198="","",COUNTIFS(Competencia!$B$7:$B$406,B198,Competencia!$G$7:$G$406,"Sí"))</f>
        <v/>
      </c>
      <c r="L198" s="15"/>
      <c r="M198" s="15"/>
      <c r="N198" s="1"/>
      <c r="O198" s="1"/>
    </row>
    <row r="199" customFormat="false" ht="15" hidden="false" customHeight="false" outlineLevel="0" collapsed="false">
      <c r="A199" s="1"/>
      <c r="B199" s="8" t="str">
        <f aca="false">IF(D199="","","P-"&amp;TEXT(ROW()-6,"000"))</f>
        <v/>
      </c>
      <c r="C199" s="10"/>
      <c r="D199" s="10"/>
      <c r="E199" s="10"/>
      <c r="F199" s="18"/>
      <c r="G199" s="11"/>
      <c r="H199" s="10"/>
      <c r="I199" s="12" t="str">
        <f aca="false">IF(H199="","",IF(H199&lt;10,"Sí","No"))</f>
        <v/>
      </c>
      <c r="J199" s="10"/>
      <c r="K199" s="12" t="str">
        <f aca="false">IF(B199="","",COUNTIFS(Competencia!$B$7:$B$406,B199,Competencia!$G$7:$G$406,"Sí"))</f>
        <v/>
      </c>
      <c r="L199" s="10"/>
      <c r="M199" s="10"/>
      <c r="N199" s="1"/>
      <c r="O199" s="1"/>
    </row>
    <row r="200" customFormat="false" ht="15" hidden="false" customHeight="false" outlineLevel="0" collapsed="false">
      <c r="A200" s="1"/>
      <c r="B200" s="13" t="str">
        <f aca="false">IF(D200="","","P-"&amp;TEXT(ROW()-6,"000"))</f>
        <v/>
      </c>
      <c r="C200" s="15"/>
      <c r="D200" s="15"/>
      <c r="E200" s="15"/>
      <c r="F200" s="19"/>
      <c r="G200" s="16"/>
      <c r="H200" s="15"/>
      <c r="I200" s="17" t="str">
        <f aca="false">IF(H200="","",IF(H200&lt;10,"Sí","No"))</f>
        <v/>
      </c>
      <c r="J200" s="15"/>
      <c r="K200" s="17" t="str">
        <f aca="false">IF(B200="","",COUNTIFS(Competencia!$B$7:$B$406,B200,Competencia!$G$7:$G$406,"Sí"))</f>
        <v/>
      </c>
      <c r="L200" s="15"/>
      <c r="M200" s="15"/>
      <c r="N200" s="1"/>
      <c r="O200" s="1"/>
    </row>
    <row r="201" customFormat="false" ht="15" hidden="false" customHeight="false" outlineLevel="0" collapsed="false">
      <c r="A201" s="1"/>
      <c r="B201" s="8" t="str">
        <f aca="false">IF(D201="","","P-"&amp;TEXT(ROW()-6,"000"))</f>
        <v/>
      </c>
      <c r="C201" s="10"/>
      <c r="D201" s="10"/>
      <c r="E201" s="10"/>
      <c r="F201" s="18"/>
      <c r="G201" s="11"/>
      <c r="H201" s="10"/>
      <c r="I201" s="12" t="str">
        <f aca="false">IF(H201="","",IF(H201&lt;10,"Sí","No"))</f>
        <v/>
      </c>
      <c r="J201" s="10"/>
      <c r="K201" s="12" t="str">
        <f aca="false">IF(B201="","",COUNTIFS(Competencia!$B$7:$B$406,B201,Competencia!$G$7:$G$406,"Sí"))</f>
        <v/>
      </c>
      <c r="L201" s="10"/>
      <c r="M201" s="10"/>
      <c r="N201" s="1"/>
      <c r="O201" s="1"/>
    </row>
    <row r="202" customFormat="false" ht="15" hidden="false" customHeight="false" outlineLevel="0" collapsed="false">
      <c r="A202" s="1"/>
      <c r="B202" s="13" t="str">
        <f aca="false">IF(D202="","","P-"&amp;TEXT(ROW()-6,"000"))</f>
        <v/>
      </c>
      <c r="C202" s="15"/>
      <c r="D202" s="15"/>
      <c r="E202" s="15"/>
      <c r="F202" s="19"/>
      <c r="G202" s="16"/>
      <c r="H202" s="15"/>
      <c r="I202" s="17" t="str">
        <f aca="false">IF(H202="","",IF(H202&lt;10,"Sí","No"))</f>
        <v/>
      </c>
      <c r="J202" s="15"/>
      <c r="K202" s="17" t="str">
        <f aca="false">IF(B202="","",COUNTIFS(Competencia!$B$7:$B$406,B202,Competencia!$G$7:$G$406,"Sí"))</f>
        <v/>
      </c>
      <c r="L202" s="15"/>
      <c r="M202" s="15"/>
      <c r="N202" s="1"/>
      <c r="O202" s="1"/>
    </row>
    <row r="203" customFormat="false" ht="15" hidden="false" customHeight="false" outlineLevel="0" collapsed="false">
      <c r="A203" s="1"/>
      <c r="B203" s="8" t="str">
        <f aca="false">IF(D203="","","P-"&amp;TEXT(ROW()-6,"000"))</f>
        <v/>
      </c>
      <c r="C203" s="10"/>
      <c r="D203" s="10"/>
      <c r="E203" s="10"/>
      <c r="F203" s="18"/>
      <c r="G203" s="11"/>
      <c r="H203" s="10"/>
      <c r="I203" s="12" t="str">
        <f aca="false">IF(H203="","",IF(H203&lt;10,"Sí","No"))</f>
        <v/>
      </c>
      <c r="J203" s="10"/>
      <c r="K203" s="12" t="str">
        <f aca="false">IF(B203="","",COUNTIFS(Competencia!$B$7:$B$406,B203,Competencia!$G$7:$G$406,"Sí"))</f>
        <v/>
      </c>
      <c r="L203" s="10"/>
      <c r="M203" s="10"/>
      <c r="N203" s="1"/>
      <c r="O203" s="1"/>
    </row>
    <row r="204" customFormat="false" ht="15" hidden="false" customHeight="false" outlineLevel="0" collapsed="false">
      <c r="A204" s="1"/>
      <c r="B204" s="13" t="str">
        <f aca="false">IF(D204="","","P-"&amp;TEXT(ROW()-6,"000"))</f>
        <v/>
      </c>
      <c r="C204" s="15"/>
      <c r="D204" s="15"/>
      <c r="E204" s="15"/>
      <c r="F204" s="19"/>
      <c r="G204" s="16"/>
      <c r="H204" s="15"/>
      <c r="I204" s="17" t="str">
        <f aca="false">IF(H204="","",IF(H204&lt;10,"Sí","No"))</f>
        <v/>
      </c>
      <c r="J204" s="15"/>
      <c r="K204" s="17" t="str">
        <f aca="false">IF(B204="","",COUNTIFS(Competencia!$B$7:$B$406,B204,Competencia!$G$7:$G$406,"Sí"))</f>
        <v/>
      </c>
      <c r="L204" s="15"/>
      <c r="M204" s="15"/>
      <c r="N204" s="1"/>
      <c r="O204" s="1"/>
    </row>
    <row r="205" customFormat="false" ht="15" hidden="false" customHeight="false" outlineLevel="0" collapsed="false">
      <c r="A205" s="1"/>
      <c r="B205" s="8" t="str">
        <f aca="false">IF(D205="","","P-"&amp;TEXT(ROW()-6,"000"))</f>
        <v/>
      </c>
      <c r="C205" s="10"/>
      <c r="D205" s="10"/>
      <c r="E205" s="10"/>
      <c r="F205" s="18"/>
      <c r="G205" s="11"/>
      <c r="H205" s="10"/>
      <c r="I205" s="12" t="str">
        <f aca="false">IF(H205="","",IF(H205&lt;10,"Sí","No"))</f>
        <v/>
      </c>
      <c r="J205" s="10"/>
      <c r="K205" s="12" t="str">
        <f aca="false">IF(B205="","",COUNTIFS(Competencia!$B$7:$B$406,B205,Competencia!$G$7:$G$406,"Sí"))</f>
        <v/>
      </c>
      <c r="L205" s="10"/>
      <c r="M205" s="10"/>
      <c r="N205" s="1"/>
      <c r="O205" s="1"/>
    </row>
    <row r="206" customFormat="false" ht="15" hidden="false" customHeight="false" outlineLevel="0" collapsed="false">
      <c r="A206" s="1"/>
      <c r="B206" s="13" t="str">
        <f aca="false">IF(D206="","","P-"&amp;TEXT(ROW()-6,"000"))</f>
        <v/>
      </c>
      <c r="C206" s="15"/>
      <c r="D206" s="15"/>
      <c r="E206" s="15"/>
      <c r="F206" s="19"/>
      <c r="G206" s="16"/>
      <c r="H206" s="15"/>
      <c r="I206" s="17" t="str">
        <f aca="false">IF(H206="","",IF(H206&lt;10,"Sí","No"))</f>
        <v/>
      </c>
      <c r="J206" s="15"/>
      <c r="K206" s="17" t="str">
        <f aca="false">IF(B206="","",COUNTIFS(Competencia!$B$7:$B$406,B206,Competencia!$G$7:$G$406,"Sí"))</f>
        <v/>
      </c>
      <c r="L206" s="15"/>
      <c r="M206" s="15"/>
      <c r="N206" s="1"/>
      <c r="O206" s="1"/>
    </row>
    <row r="207" customFormat="false" ht="15" hidden="false" customHeight="false" outlineLevel="0" collapsed="false">
      <c r="A207" s="1"/>
      <c r="B207" s="8" t="str">
        <f aca="false">IF(D207="","","P-"&amp;TEXT(ROW()-6,"000"))</f>
        <v/>
      </c>
      <c r="C207" s="10"/>
      <c r="D207" s="10"/>
      <c r="E207" s="10"/>
      <c r="F207" s="18"/>
      <c r="G207" s="11"/>
      <c r="H207" s="10"/>
      <c r="I207" s="12" t="str">
        <f aca="false">IF(H207="","",IF(H207&lt;10,"Sí","No"))</f>
        <v/>
      </c>
      <c r="J207" s="10"/>
      <c r="K207" s="12" t="str">
        <f aca="false">IF(B207="","",COUNTIFS(Competencia!$B$7:$B$406,B207,Competencia!$G$7:$G$406,"Sí"))</f>
        <v/>
      </c>
      <c r="L207" s="10"/>
      <c r="M207" s="10"/>
      <c r="N207" s="1"/>
      <c r="O207" s="1"/>
    </row>
    <row r="208" customFormat="false" ht="15" hidden="false" customHeight="false" outlineLevel="0" collapsed="false">
      <c r="A208" s="1"/>
      <c r="B208" s="13" t="str">
        <f aca="false">IF(D208="","","P-"&amp;TEXT(ROW()-6,"000"))</f>
        <v/>
      </c>
      <c r="C208" s="15"/>
      <c r="D208" s="15"/>
      <c r="E208" s="15"/>
      <c r="F208" s="19"/>
      <c r="G208" s="16"/>
      <c r="H208" s="15"/>
      <c r="I208" s="17" t="str">
        <f aca="false">IF(H208="","",IF(H208&lt;10,"Sí","No"))</f>
        <v/>
      </c>
      <c r="J208" s="15"/>
      <c r="K208" s="17" t="str">
        <f aca="false">IF(B208="","",COUNTIFS(Competencia!$B$7:$B$406,B208,Competencia!$G$7:$G$406,"Sí"))</f>
        <v/>
      </c>
      <c r="L208" s="15"/>
      <c r="M208" s="15"/>
      <c r="N208" s="1"/>
      <c r="O208" s="1"/>
    </row>
    <row r="209" customFormat="false" ht="15" hidden="false" customHeight="false" outlineLevel="0" collapsed="false">
      <c r="A209" s="1"/>
      <c r="B209" s="8" t="str">
        <f aca="false">IF(D209="","","P-"&amp;TEXT(ROW()-6,"000"))</f>
        <v/>
      </c>
      <c r="C209" s="10"/>
      <c r="D209" s="10"/>
      <c r="E209" s="10"/>
      <c r="F209" s="18"/>
      <c r="G209" s="11"/>
      <c r="H209" s="10"/>
      <c r="I209" s="12" t="str">
        <f aca="false">IF(H209="","",IF(H209&lt;10,"Sí","No"))</f>
        <v/>
      </c>
      <c r="J209" s="10"/>
      <c r="K209" s="12" t="str">
        <f aca="false">IF(B209="","",COUNTIFS(Competencia!$B$7:$B$406,B209,Competencia!$G$7:$G$406,"Sí"))</f>
        <v/>
      </c>
      <c r="L209" s="10"/>
      <c r="M209" s="10"/>
      <c r="N209" s="1"/>
      <c r="O209" s="1"/>
    </row>
    <row r="210" customFormat="false" ht="15" hidden="false" customHeight="false" outlineLevel="0" collapsed="false">
      <c r="A210" s="1"/>
      <c r="B210" s="13" t="str">
        <f aca="false">IF(D210="","","P-"&amp;TEXT(ROW()-6,"000"))</f>
        <v/>
      </c>
      <c r="C210" s="15"/>
      <c r="D210" s="15"/>
      <c r="E210" s="15"/>
      <c r="F210" s="19"/>
      <c r="G210" s="16"/>
      <c r="H210" s="15"/>
      <c r="I210" s="17" t="str">
        <f aca="false">IF(H210="","",IF(H210&lt;10,"Sí","No"))</f>
        <v/>
      </c>
      <c r="J210" s="15"/>
      <c r="K210" s="17" t="str">
        <f aca="false">IF(B210="","",COUNTIFS(Competencia!$B$7:$B$406,B210,Competencia!$G$7:$G$406,"Sí"))</f>
        <v/>
      </c>
      <c r="L210" s="15"/>
      <c r="M210" s="15"/>
      <c r="N210" s="1"/>
      <c r="O210" s="1"/>
    </row>
    <row r="211" customFormat="false" ht="15" hidden="false" customHeight="false" outlineLevel="0" collapsed="false">
      <c r="A211" s="1"/>
      <c r="B211" s="8" t="str">
        <f aca="false">IF(D211="","","P-"&amp;TEXT(ROW()-6,"000"))</f>
        <v/>
      </c>
      <c r="C211" s="10"/>
      <c r="D211" s="10"/>
      <c r="E211" s="10"/>
      <c r="F211" s="18"/>
      <c r="G211" s="11"/>
      <c r="H211" s="10"/>
      <c r="I211" s="12" t="str">
        <f aca="false">IF(H211="","",IF(H211&lt;10,"Sí","No"))</f>
        <v/>
      </c>
      <c r="J211" s="10"/>
      <c r="K211" s="12" t="str">
        <f aca="false">IF(B211="","",COUNTIFS(Competencia!$B$7:$B$406,B211,Competencia!$G$7:$G$406,"Sí"))</f>
        <v/>
      </c>
      <c r="L211" s="10"/>
      <c r="M211" s="10"/>
      <c r="N211" s="1"/>
      <c r="O211" s="1"/>
    </row>
    <row r="212" customFormat="false" ht="15" hidden="false" customHeight="false" outlineLevel="0" collapsed="false">
      <c r="A212" s="1"/>
      <c r="B212" s="13" t="str">
        <f aca="false">IF(D212="","","P-"&amp;TEXT(ROW()-6,"000"))</f>
        <v/>
      </c>
      <c r="C212" s="15"/>
      <c r="D212" s="15"/>
      <c r="E212" s="15"/>
      <c r="F212" s="19"/>
      <c r="G212" s="16"/>
      <c r="H212" s="15"/>
      <c r="I212" s="17" t="str">
        <f aca="false">IF(H212="","",IF(H212&lt;10,"Sí","No"))</f>
        <v/>
      </c>
      <c r="J212" s="15"/>
      <c r="K212" s="17" t="str">
        <f aca="false">IF(B212="","",COUNTIFS(Competencia!$B$7:$B$406,B212,Competencia!$G$7:$G$406,"Sí"))</f>
        <v/>
      </c>
      <c r="L212" s="15"/>
      <c r="M212" s="15"/>
      <c r="N212" s="1"/>
      <c r="O212" s="1"/>
    </row>
    <row r="213" customFormat="false" ht="15" hidden="false" customHeight="false" outlineLevel="0" collapsed="false">
      <c r="A213" s="1"/>
      <c r="B213" s="8" t="str">
        <f aca="false">IF(D213="","","P-"&amp;TEXT(ROW()-6,"000"))</f>
        <v/>
      </c>
      <c r="C213" s="10"/>
      <c r="D213" s="10"/>
      <c r="E213" s="10"/>
      <c r="F213" s="18"/>
      <c r="G213" s="11"/>
      <c r="H213" s="10"/>
      <c r="I213" s="12" t="str">
        <f aca="false">IF(H213="","",IF(H213&lt;10,"Sí","No"))</f>
        <v/>
      </c>
      <c r="J213" s="10"/>
      <c r="K213" s="12" t="str">
        <f aca="false">IF(B213="","",COUNTIFS(Competencia!$B$7:$B$406,B213,Competencia!$G$7:$G$406,"Sí"))</f>
        <v/>
      </c>
      <c r="L213" s="10"/>
      <c r="M213" s="10"/>
      <c r="N213" s="1"/>
      <c r="O213" s="1"/>
    </row>
    <row r="214" customFormat="false" ht="15" hidden="false" customHeight="false" outlineLevel="0" collapsed="false">
      <c r="A214" s="1"/>
      <c r="B214" s="13" t="str">
        <f aca="false">IF(D214="","","P-"&amp;TEXT(ROW()-6,"000"))</f>
        <v/>
      </c>
      <c r="C214" s="15"/>
      <c r="D214" s="15"/>
      <c r="E214" s="15"/>
      <c r="F214" s="19"/>
      <c r="G214" s="16"/>
      <c r="H214" s="15"/>
      <c r="I214" s="17" t="str">
        <f aca="false">IF(H214="","",IF(H214&lt;10,"Sí","No"))</f>
        <v/>
      </c>
      <c r="J214" s="15"/>
      <c r="K214" s="17" t="str">
        <f aca="false">IF(B214="","",COUNTIFS(Competencia!$B$7:$B$406,B214,Competencia!$G$7:$G$406,"Sí"))</f>
        <v/>
      </c>
      <c r="L214" s="15"/>
      <c r="M214" s="15"/>
      <c r="N214" s="1"/>
      <c r="O214" s="1"/>
    </row>
    <row r="215" customFormat="false" ht="15" hidden="false" customHeight="false" outlineLevel="0" collapsed="false">
      <c r="A215" s="1"/>
      <c r="B215" s="8" t="str">
        <f aca="false">IF(D215="","","P-"&amp;TEXT(ROW()-6,"000"))</f>
        <v/>
      </c>
      <c r="C215" s="10"/>
      <c r="D215" s="10"/>
      <c r="E215" s="10"/>
      <c r="F215" s="18"/>
      <c r="G215" s="11"/>
      <c r="H215" s="10"/>
      <c r="I215" s="12" t="str">
        <f aca="false">IF(H215="","",IF(H215&lt;10,"Sí","No"))</f>
        <v/>
      </c>
      <c r="J215" s="10"/>
      <c r="K215" s="12" t="str">
        <f aca="false">IF(B215="","",COUNTIFS(Competencia!$B$7:$B$406,B215,Competencia!$G$7:$G$406,"Sí"))</f>
        <v/>
      </c>
      <c r="L215" s="10"/>
      <c r="M215" s="10"/>
      <c r="N215" s="1"/>
      <c r="O215" s="1"/>
    </row>
    <row r="216" customFormat="false" ht="15" hidden="false" customHeight="false" outlineLevel="0" collapsed="false">
      <c r="A216" s="1"/>
      <c r="B216" s="13" t="str">
        <f aca="false">IF(D216="","","P-"&amp;TEXT(ROW()-6,"000"))</f>
        <v/>
      </c>
      <c r="C216" s="15"/>
      <c r="D216" s="15"/>
      <c r="E216" s="15"/>
      <c r="F216" s="19"/>
      <c r="G216" s="16"/>
      <c r="H216" s="15"/>
      <c r="I216" s="17" t="str">
        <f aca="false">IF(H216="","",IF(H216&lt;10,"Sí","No"))</f>
        <v/>
      </c>
      <c r="J216" s="15"/>
      <c r="K216" s="17" t="str">
        <f aca="false">IF(B216="","",COUNTIFS(Competencia!$B$7:$B$406,B216,Competencia!$G$7:$G$406,"Sí"))</f>
        <v/>
      </c>
      <c r="L216" s="15"/>
      <c r="M216" s="15"/>
      <c r="N216" s="1"/>
      <c r="O216" s="1"/>
    </row>
    <row r="217" customFormat="false" ht="15" hidden="false" customHeight="false" outlineLevel="0" collapsed="false">
      <c r="A217" s="1"/>
      <c r="B217" s="8" t="str">
        <f aca="false">IF(D217="","","P-"&amp;TEXT(ROW()-6,"000"))</f>
        <v/>
      </c>
      <c r="C217" s="10"/>
      <c r="D217" s="10"/>
      <c r="E217" s="10"/>
      <c r="F217" s="18"/>
      <c r="G217" s="11"/>
      <c r="H217" s="10"/>
      <c r="I217" s="12" t="str">
        <f aca="false">IF(H217="","",IF(H217&lt;10,"Sí","No"))</f>
        <v/>
      </c>
      <c r="J217" s="10"/>
      <c r="K217" s="12" t="str">
        <f aca="false">IF(B217="","",COUNTIFS(Competencia!$B$7:$B$406,B217,Competencia!$G$7:$G$406,"Sí"))</f>
        <v/>
      </c>
      <c r="L217" s="10"/>
      <c r="M217" s="10"/>
      <c r="N217" s="1"/>
      <c r="O217" s="1"/>
    </row>
    <row r="218" customFormat="false" ht="15" hidden="false" customHeight="false" outlineLevel="0" collapsed="false">
      <c r="A218" s="1"/>
      <c r="B218" s="13" t="str">
        <f aca="false">IF(D218="","","P-"&amp;TEXT(ROW()-6,"000"))</f>
        <v/>
      </c>
      <c r="C218" s="15"/>
      <c r="D218" s="15"/>
      <c r="E218" s="15"/>
      <c r="F218" s="19"/>
      <c r="G218" s="16"/>
      <c r="H218" s="15"/>
      <c r="I218" s="17" t="str">
        <f aca="false">IF(H218="","",IF(H218&lt;10,"Sí","No"))</f>
        <v/>
      </c>
      <c r="J218" s="15"/>
      <c r="K218" s="17" t="str">
        <f aca="false">IF(B218="","",COUNTIFS(Competencia!$B$7:$B$406,B218,Competencia!$G$7:$G$406,"Sí"))</f>
        <v/>
      </c>
      <c r="L218" s="15"/>
      <c r="M218" s="15"/>
      <c r="N218" s="1"/>
      <c r="O218" s="1"/>
    </row>
    <row r="219" customFormat="false" ht="15" hidden="false" customHeight="false" outlineLevel="0" collapsed="false">
      <c r="A219" s="1"/>
      <c r="B219" s="8" t="str">
        <f aca="false">IF(D219="","","P-"&amp;TEXT(ROW()-6,"000"))</f>
        <v/>
      </c>
      <c r="C219" s="10"/>
      <c r="D219" s="10"/>
      <c r="E219" s="10"/>
      <c r="F219" s="18"/>
      <c r="G219" s="11"/>
      <c r="H219" s="10"/>
      <c r="I219" s="12" t="str">
        <f aca="false">IF(H219="","",IF(H219&lt;10,"Sí","No"))</f>
        <v/>
      </c>
      <c r="J219" s="10"/>
      <c r="K219" s="12" t="str">
        <f aca="false">IF(B219="","",COUNTIFS(Competencia!$B$7:$B$406,B219,Competencia!$G$7:$G$406,"Sí"))</f>
        <v/>
      </c>
      <c r="L219" s="10"/>
      <c r="M219" s="10"/>
      <c r="N219" s="1"/>
      <c r="O219" s="1"/>
    </row>
    <row r="220" customFormat="false" ht="15" hidden="false" customHeight="false" outlineLevel="0" collapsed="false">
      <c r="A220" s="1"/>
      <c r="B220" s="13" t="str">
        <f aca="false">IF(D220="","","P-"&amp;TEXT(ROW()-6,"000"))</f>
        <v/>
      </c>
      <c r="C220" s="15"/>
      <c r="D220" s="15"/>
      <c r="E220" s="15"/>
      <c r="F220" s="19"/>
      <c r="G220" s="16"/>
      <c r="H220" s="15"/>
      <c r="I220" s="17" t="str">
        <f aca="false">IF(H220="","",IF(H220&lt;10,"Sí","No"))</f>
        <v/>
      </c>
      <c r="J220" s="15"/>
      <c r="K220" s="17" t="str">
        <f aca="false">IF(B220="","",COUNTIFS(Competencia!$B$7:$B$406,B220,Competencia!$G$7:$G$406,"Sí"))</f>
        <v/>
      </c>
      <c r="L220" s="15"/>
      <c r="M220" s="15"/>
      <c r="N220" s="1"/>
      <c r="O220" s="1"/>
    </row>
    <row r="221" customFormat="false" ht="15" hidden="false" customHeight="false" outlineLevel="0" collapsed="false">
      <c r="A221" s="1"/>
      <c r="B221" s="8" t="str">
        <f aca="false">IF(D221="","","P-"&amp;TEXT(ROW()-6,"000"))</f>
        <v/>
      </c>
      <c r="C221" s="10"/>
      <c r="D221" s="10"/>
      <c r="E221" s="10"/>
      <c r="F221" s="18"/>
      <c r="G221" s="11"/>
      <c r="H221" s="10"/>
      <c r="I221" s="12" t="str">
        <f aca="false">IF(H221="","",IF(H221&lt;10,"Sí","No"))</f>
        <v/>
      </c>
      <c r="J221" s="10"/>
      <c r="K221" s="12" t="str">
        <f aca="false">IF(B221="","",COUNTIFS(Competencia!$B$7:$B$406,B221,Competencia!$G$7:$G$406,"Sí"))</f>
        <v/>
      </c>
      <c r="L221" s="10"/>
      <c r="M221" s="10"/>
      <c r="N221" s="1"/>
      <c r="O221" s="1"/>
    </row>
    <row r="222" customFormat="false" ht="15" hidden="false" customHeight="false" outlineLevel="0" collapsed="false">
      <c r="A222" s="1"/>
      <c r="B222" s="13" t="str">
        <f aca="false">IF(D222="","","P-"&amp;TEXT(ROW()-6,"000"))</f>
        <v/>
      </c>
      <c r="C222" s="15"/>
      <c r="D222" s="15"/>
      <c r="E222" s="15"/>
      <c r="F222" s="19"/>
      <c r="G222" s="16"/>
      <c r="H222" s="15"/>
      <c r="I222" s="17" t="str">
        <f aca="false">IF(H222="","",IF(H222&lt;10,"Sí","No"))</f>
        <v/>
      </c>
      <c r="J222" s="15"/>
      <c r="K222" s="17" t="str">
        <f aca="false">IF(B222="","",COUNTIFS(Competencia!$B$7:$B$406,B222,Competencia!$G$7:$G$406,"Sí"))</f>
        <v/>
      </c>
      <c r="L222" s="15"/>
      <c r="M222" s="15"/>
      <c r="N222" s="1"/>
      <c r="O222" s="1"/>
    </row>
    <row r="223" customFormat="false" ht="15" hidden="false" customHeight="false" outlineLevel="0" collapsed="false">
      <c r="A223" s="1"/>
      <c r="B223" s="8" t="str">
        <f aca="false">IF(D223="","","P-"&amp;TEXT(ROW()-6,"000"))</f>
        <v/>
      </c>
      <c r="C223" s="10"/>
      <c r="D223" s="10"/>
      <c r="E223" s="10"/>
      <c r="F223" s="18"/>
      <c r="G223" s="11"/>
      <c r="H223" s="10"/>
      <c r="I223" s="12" t="str">
        <f aca="false">IF(H223="","",IF(H223&lt;10,"Sí","No"))</f>
        <v/>
      </c>
      <c r="J223" s="10"/>
      <c r="K223" s="12" t="str">
        <f aca="false">IF(B223="","",COUNTIFS(Competencia!$B$7:$B$406,B223,Competencia!$G$7:$G$406,"Sí"))</f>
        <v/>
      </c>
      <c r="L223" s="10"/>
      <c r="M223" s="10"/>
      <c r="N223" s="1"/>
      <c r="O223" s="1"/>
    </row>
    <row r="224" customFormat="false" ht="15" hidden="false" customHeight="false" outlineLevel="0" collapsed="false">
      <c r="A224" s="1"/>
      <c r="B224" s="13" t="str">
        <f aca="false">IF(D224="","","P-"&amp;TEXT(ROW()-6,"000"))</f>
        <v/>
      </c>
      <c r="C224" s="15"/>
      <c r="D224" s="15"/>
      <c r="E224" s="15"/>
      <c r="F224" s="19"/>
      <c r="G224" s="16"/>
      <c r="H224" s="15"/>
      <c r="I224" s="17" t="str">
        <f aca="false">IF(H224="","",IF(H224&lt;10,"Sí","No"))</f>
        <v/>
      </c>
      <c r="J224" s="15"/>
      <c r="K224" s="17" t="str">
        <f aca="false">IF(B224="","",COUNTIFS(Competencia!$B$7:$B$406,B224,Competencia!$G$7:$G$406,"Sí"))</f>
        <v/>
      </c>
      <c r="L224" s="15"/>
      <c r="M224" s="15"/>
      <c r="N224" s="1"/>
      <c r="O224" s="1"/>
    </row>
    <row r="225" customFormat="false" ht="15" hidden="false" customHeight="false" outlineLevel="0" collapsed="false">
      <c r="A225" s="1"/>
      <c r="B225" s="8" t="str">
        <f aca="false">IF(D225="","","P-"&amp;TEXT(ROW()-6,"000"))</f>
        <v/>
      </c>
      <c r="C225" s="10"/>
      <c r="D225" s="10"/>
      <c r="E225" s="10"/>
      <c r="F225" s="18"/>
      <c r="G225" s="11"/>
      <c r="H225" s="10"/>
      <c r="I225" s="12" t="str">
        <f aca="false">IF(H225="","",IF(H225&lt;10,"Sí","No"))</f>
        <v/>
      </c>
      <c r="J225" s="10"/>
      <c r="K225" s="12" t="str">
        <f aca="false">IF(B225="","",COUNTIFS(Competencia!$B$7:$B$406,B225,Competencia!$G$7:$G$406,"Sí"))</f>
        <v/>
      </c>
      <c r="L225" s="10"/>
      <c r="M225" s="10"/>
      <c r="N225" s="1"/>
      <c r="O225" s="1"/>
    </row>
    <row r="226" customFormat="false" ht="15" hidden="false" customHeight="false" outlineLevel="0" collapsed="false">
      <c r="A226" s="1"/>
      <c r="B226" s="13" t="str">
        <f aca="false">IF(D226="","","P-"&amp;TEXT(ROW()-6,"000"))</f>
        <v/>
      </c>
      <c r="C226" s="15"/>
      <c r="D226" s="15"/>
      <c r="E226" s="15"/>
      <c r="F226" s="19"/>
      <c r="G226" s="16"/>
      <c r="H226" s="15"/>
      <c r="I226" s="17" t="str">
        <f aca="false">IF(H226="","",IF(H226&lt;10,"Sí","No"))</f>
        <v/>
      </c>
      <c r="J226" s="15"/>
      <c r="K226" s="17" t="str">
        <f aca="false">IF(B226="","",COUNTIFS(Competencia!$B$7:$B$406,B226,Competencia!$G$7:$G$406,"Sí"))</f>
        <v/>
      </c>
      <c r="L226" s="15"/>
      <c r="M226" s="15"/>
      <c r="N226" s="1"/>
      <c r="O226" s="1"/>
    </row>
    <row r="227" customFormat="false" ht="15" hidden="false" customHeight="false" outlineLevel="0" collapsed="false">
      <c r="A227" s="1"/>
      <c r="B227" s="8" t="str">
        <f aca="false">IF(D227="","","P-"&amp;TEXT(ROW()-6,"000"))</f>
        <v/>
      </c>
      <c r="C227" s="10"/>
      <c r="D227" s="10"/>
      <c r="E227" s="10"/>
      <c r="F227" s="18"/>
      <c r="G227" s="11"/>
      <c r="H227" s="10"/>
      <c r="I227" s="12" t="str">
        <f aca="false">IF(H227="","",IF(H227&lt;10,"Sí","No"))</f>
        <v/>
      </c>
      <c r="J227" s="10"/>
      <c r="K227" s="12" t="str">
        <f aca="false">IF(B227="","",COUNTIFS(Competencia!$B$7:$B$406,B227,Competencia!$G$7:$G$406,"Sí"))</f>
        <v/>
      </c>
      <c r="L227" s="10"/>
      <c r="M227" s="10"/>
      <c r="N227" s="1"/>
      <c r="O227" s="1"/>
    </row>
    <row r="228" customFormat="false" ht="15" hidden="false" customHeight="false" outlineLevel="0" collapsed="false">
      <c r="A228" s="1"/>
      <c r="B228" s="13" t="str">
        <f aca="false">IF(D228="","","P-"&amp;TEXT(ROW()-6,"000"))</f>
        <v/>
      </c>
      <c r="C228" s="15"/>
      <c r="D228" s="15"/>
      <c r="E228" s="15"/>
      <c r="F228" s="19"/>
      <c r="G228" s="16"/>
      <c r="H228" s="15"/>
      <c r="I228" s="17" t="str">
        <f aca="false">IF(H228="","",IF(H228&lt;10,"Sí","No"))</f>
        <v/>
      </c>
      <c r="J228" s="15"/>
      <c r="K228" s="17" t="str">
        <f aca="false">IF(B228="","",COUNTIFS(Competencia!$B$7:$B$406,B228,Competencia!$G$7:$G$406,"Sí"))</f>
        <v/>
      </c>
      <c r="L228" s="15"/>
      <c r="M228" s="15"/>
      <c r="N228" s="1"/>
      <c r="O228" s="1"/>
    </row>
    <row r="229" customFormat="false" ht="15" hidden="false" customHeight="false" outlineLevel="0" collapsed="false">
      <c r="A229" s="1"/>
      <c r="B229" s="8" t="str">
        <f aca="false">IF(D229="","","P-"&amp;TEXT(ROW()-6,"000"))</f>
        <v/>
      </c>
      <c r="C229" s="10"/>
      <c r="D229" s="10"/>
      <c r="E229" s="10"/>
      <c r="F229" s="18"/>
      <c r="G229" s="11"/>
      <c r="H229" s="10"/>
      <c r="I229" s="12" t="str">
        <f aca="false">IF(H229="","",IF(H229&lt;10,"Sí","No"))</f>
        <v/>
      </c>
      <c r="J229" s="10"/>
      <c r="K229" s="12" t="str">
        <f aca="false">IF(B229="","",COUNTIFS(Competencia!$B$7:$B$406,B229,Competencia!$G$7:$G$406,"Sí"))</f>
        <v/>
      </c>
      <c r="L229" s="10"/>
      <c r="M229" s="10"/>
      <c r="N229" s="1"/>
      <c r="O229" s="1"/>
    </row>
    <row r="230" customFormat="false" ht="15" hidden="false" customHeight="false" outlineLevel="0" collapsed="false">
      <c r="A230" s="1"/>
      <c r="B230" s="13" t="str">
        <f aca="false">IF(D230="","","P-"&amp;TEXT(ROW()-6,"000"))</f>
        <v/>
      </c>
      <c r="C230" s="15"/>
      <c r="D230" s="15"/>
      <c r="E230" s="15"/>
      <c r="F230" s="19"/>
      <c r="G230" s="16"/>
      <c r="H230" s="15"/>
      <c r="I230" s="17" t="str">
        <f aca="false">IF(H230="","",IF(H230&lt;10,"Sí","No"))</f>
        <v/>
      </c>
      <c r="J230" s="15"/>
      <c r="K230" s="17" t="str">
        <f aca="false">IF(B230="","",COUNTIFS(Competencia!$B$7:$B$406,B230,Competencia!$G$7:$G$406,"Sí"))</f>
        <v/>
      </c>
      <c r="L230" s="15"/>
      <c r="M230" s="15"/>
      <c r="N230" s="1"/>
      <c r="O230" s="1"/>
    </row>
    <row r="231" customFormat="false" ht="15" hidden="false" customHeight="false" outlineLevel="0" collapsed="false">
      <c r="A231" s="1"/>
      <c r="B231" s="8" t="str">
        <f aca="false">IF(D231="","","P-"&amp;TEXT(ROW()-6,"000"))</f>
        <v/>
      </c>
      <c r="C231" s="10"/>
      <c r="D231" s="10"/>
      <c r="E231" s="10"/>
      <c r="F231" s="18"/>
      <c r="G231" s="11"/>
      <c r="H231" s="10"/>
      <c r="I231" s="12" t="str">
        <f aca="false">IF(H231="","",IF(H231&lt;10,"Sí","No"))</f>
        <v/>
      </c>
      <c r="J231" s="10"/>
      <c r="K231" s="12" t="str">
        <f aca="false">IF(B231="","",COUNTIFS(Competencia!$B$7:$B$406,B231,Competencia!$G$7:$G$406,"Sí"))</f>
        <v/>
      </c>
      <c r="L231" s="10"/>
      <c r="M231" s="10"/>
      <c r="N231" s="1"/>
      <c r="O231" s="1"/>
    </row>
    <row r="232" customFormat="false" ht="15" hidden="false" customHeight="false" outlineLevel="0" collapsed="false">
      <c r="A232" s="1"/>
      <c r="B232" s="13" t="str">
        <f aca="false">IF(D232="","","P-"&amp;TEXT(ROW()-6,"000"))</f>
        <v/>
      </c>
      <c r="C232" s="15"/>
      <c r="D232" s="15"/>
      <c r="E232" s="15"/>
      <c r="F232" s="19"/>
      <c r="G232" s="16"/>
      <c r="H232" s="15"/>
      <c r="I232" s="17" t="str">
        <f aca="false">IF(H232="","",IF(H232&lt;10,"Sí","No"))</f>
        <v/>
      </c>
      <c r="J232" s="15"/>
      <c r="K232" s="17" t="str">
        <f aca="false">IF(B232="","",COUNTIFS(Competencia!$B$7:$B$406,B232,Competencia!$G$7:$G$406,"Sí"))</f>
        <v/>
      </c>
      <c r="L232" s="15"/>
      <c r="M232" s="15"/>
      <c r="N232" s="1"/>
      <c r="O232" s="1"/>
    </row>
    <row r="233" customFormat="false" ht="15" hidden="false" customHeight="false" outlineLevel="0" collapsed="false">
      <c r="A233" s="1"/>
      <c r="B233" s="8" t="str">
        <f aca="false">IF(D233="","","P-"&amp;TEXT(ROW()-6,"000"))</f>
        <v/>
      </c>
      <c r="C233" s="10"/>
      <c r="D233" s="10"/>
      <c r="E233" s="10"/>
      <c r="F233" s="18"/>
      <c r="G233" s="11"/>
      <c r="H233" s="10"/>
      <c r="I233" s="12" t="str">
        <f aca="false">IF(H233="","",IF(H233&lt;10,"Sí","No"))</f>
        <v/>
      </c>
      <c r="J233" s="10"/>
      <c r="K233" s="12" t="str">
        <f aca="false">IF(B233="","",COUNTIFS(Competencia!$B$7:$B$406,B233,Competencia!$G$7:$G$406,"Sí"))</f>
        <v/>
      </c>
      <c r="L233" s="10"/>
      <c r="M233" s="10"/>
      <c r="N233" s="1"/>
      <c r="O233" s="1"/>
    </row>
    <row r="234" customFormat="false" ht="15" hidden="false" customHeight="false" outlineLevel="0" collapsed="false">
      <c r="A234" s="1"/>
      <c r="B234" s="13" t="str">
        <f aca="false">IF(D234="","","P-"&amp;TEXT(ROW()-6,"000"))</f>
        <v/>
      </c>
      <c r="C234" s="15"/>
      <c r="D234" s="15"/>
      <c r="E234" s="15"/>
      <c r="F234" s="19"/>
      <c r="G234" s="16"/>
      <c r="H234" s="15"/>
      <c r="I234" s="17" t="str">
        <f aca="false">IF(H234="","",IF(H234&lt;10,"Sí","No"))</f>
        <v/>
      </c>
      <c r="J234" s="15"/>
      <c r="K234" s="17" t="str">
        <f aca="false">IF(B234="","",COUNTIFS(Competencia!$B$7:$B$406,B234,Competencia!$G$7:$G$406,"Sí"))</f>
        <v/>
      </c>
      <c r="L234" s="15"/>
      <c r="M234" s="15"/>
      <c r="N234" s="1"/>
      <c r="O234" s="1"/>
    </row>
    <row r="235" customFormat="false" ht="15" hidden="false" customHeight="false" outlineLevel="0" collapsed="false">
      <c r="A235" s="1"/>
      <c r="B235" s="8" t="str">
        <f aca="false">IF(D235="","","P-"&amp;TEXT(ROW()-6,"000"))</f>
        <v/>
      </c>
      <c r="C235" s="10"/>
      <c r="D235" s="10"/>
      <c r="E235" s="10"/>
      <c r="F235" s="18"/>
      <c r="G235" s="11"/>
      <c r="H235" s="10"/>
      <c r="I235" s="12" t="str">
        <f aca="false">IF(H235="","",IF(H235&lt;10,"Sí","No"))</f>
        <v/>
      </c>
      <c r="J235" s="10"/>
      <c r="K235" s="12" t="str">
        <f aca="false">IF(B235="","",COUNTIFS(Competencia!$B$7:$B$406,B235,Competencia!$G$7:$G$406,"Sí"))</f>
        <v/>
      </c>
      <c r="L235" s="10"/>
      <c r="M235" s="10"/>
      <c r="N235" s="1"/>
      <c r="O235" s="1"/>
    </row>
    <row r="236" customFormat="false" ht="15" hidden="false" customHeight="false" outlineLevel="0" collapsed="false">
      <c r="A236" s="1"/>
      <c r="B236" s="13" t="str">
        <f aca="false">IF(D236="","","P-"&amp;TEXT(ROW()-6,"000"))</f>
        <v/>
      </c>
      <c r="C236" s="15"/>
      <c r="D236" s="15"/>
      <c r="E236" s="15"/>
      <c r="F236" s="19"/>
      <c r="G236" s="16"/>
      <c r="H236" s="15"/>
      <c r="I236" s="17" t="str">
        <f aca="false">IF(H236="","",IF(H236&lt;10,"Sí","No"))</f>
        <v/>
      </c>
      <c r="J236" s="15"/>
      <c r="K236" s="17" t="str">
        <f aca="false">IF(B236="","",COUNTIFS(Competencia!$B$7:$B$406,B236,Competencia!$G$7:$G$406,"Sí"))</f>
        <v/>
      </c>
      <c r="L236" s="15"/>
      <c r="M236" s="15"/>
      <c r="N236" s="1"/>
      <c r="O236" s="1"/>
    </row>
    <row r="237" customFormat="false" ht="15" hidden="false" customHeight="false" outlineLevel="0" collapsed="false">
      <c r="A237" s="1"/>
      <c r="B237" s="8" t="str">
        <f aca="false">IF(D237="","","P-"&amp;TEXT(ROW()-6,"000"))</f>
        <v/>
      </c>
      <c r="C237" s="10"/>
      <c r="D237" s="10"/>
      <c r="E237" s="10"/>
      <c r="F237" s="18"/>
      <c r="G237" s="11"/>
      <c r="H237" s="10"/>
      <c r="I237" s="12" t="str">
        <f aca="false">IF(H237="","",IF(H237&lt;10,"Sí","No"))</f>
        <v/>
      </c>
      <c r="J237" s="10"/>
      <c r="K237" s="12" t="str">
        <f aca="false">IF(B237="","",COUNTIFS(Competencia!$B$7:$B$406,B237,Competencia!$G$7:$G$406,"Sí"))</f>
        <v/>
      </c>
      <c r="L237" s="10"/>
      <c r="M237" s="10"/>
      <c r="N237" s="1"/>
      <c r="O237" s="1"/>
    </row>
    <row r="238" customFormat="false" ht="15" hidden="false" customHeight="false" outlineLevel="0" collapsed="false">
      <c r="A238" s="1"/>
      <c r="B238" s="13" t="str">
        <f aca="false">IF(D238="","","P-"&amp;TEXT(ROW()-6,"000"))</f>
        <v/>
      </c>
      <c r="C238" s="15"/>
      <c r="D238" s="15"/>
      <c r="E238" s="15"/>
      <c r="F238" s="19"/>
      <c r="G238" s="16"/>
      <c r="H238" s="15"/>
      <c r="I238" s="17" t="str">
        <f aca="false">IF(H238="","",IF(H238&lt;10,"Sí","No"))</f>
        <v/>
      </c>
      <c r="J238" s="15"/>
      <c r="K238" s="17" t="str">
        <f aca="false">IF(B238="","",COUNTIFS(Competencia!$B$7:$B$406,B238,Competencia!$G$7:$G$406,"Sí"))</f>
        <v/>
      </c>
      <c r="L238" s="15"/>
      <c r="M238" s="15"/>
      <c r="N238" s="1"/>
      <c r="O238" s="1"/>
    </row>
    <row r="239" customFormat="false" ht="15" hidden="false" customHeight="false" outlineLevel="0" collapsed="false">
      <c r="A239" s="1"/>
      <c r="B239" s="8" t="str">
        <f aca="false">IF(D239="","","P-"&amp;TEXT(ROW()-6,"000"))</f>
        <v/>
      </c>
      <c r="C239" s="10"/>
      <c r="D239" s="10"/>
      <c r="E239" s="10"/>
      <c r="F239" s="18"/>
      <c r="G239" s="11"/>
      <c r="H239" s="10"/>
      <c r="I239" s="12" t="str">
        <f aca="false">IF(H239="","",IF(H239&lt;10,"Sí","No"))</f>
        <v/>
      </c>
      <c r="J239" s="10"/>
      <c r="K239" s="12" t="str">
        <f aca="false">IF(B239="","",COUNTIFS(Competencia!$B$7:$B$406,B239,Competencia!$G$7:$G$406,"Sí"))</f>
        <v/>
      </c>
      <c r="L239" s="10"/>
      <c r="M239" s="10"/>
      <c r="N239" s="1"/>
      <c r="O239" s="1"/>
    </row>
    <row r="240" customFormat="false" ht="15" hidden="false" customHeight="false" outlineLevel="0" collapsed="false">
      <c r="A240" s="1"/>
      <c r="B240" s="13" t="str">
        <f aca="false">IF(D240="","","P-"&amp;TEXT(ROW()-6,"000"))</f>
        <v/>
      </c>
      <c r="C240" s="15"/>
      <c r="D240" s="15"/>
      <c r="E240" s="15"/>
      <c r="F240" s="19"/>
      <c r="G240" s="16"/>
      <c r="H240" s="15"/>
      <c r="I240" s="17" t="str">
        <f aca="false">IF(H240="","",IF(H240&lt;10,"Sí","No"))</f>
        <v/>
      </c>
      <c r="J240" s="15"/>
      <c r="K240" s="17" t="str">
        <f aca="false">IF(B240="","",COUNTIFS(Competencia!$B$7:$B$406,B240,Competencia!$G$7:$G$406,"Sí"))</f>
        <v/>
      </c>
      <c r="L240" s="15"/>
      <c r="M240" s="15"/>
      <c r="N240" s="1"/>
      <c r="O240" s="1"/>
    </row>
    <row r="241" customFormat="false" ht="15" hidden="false" customHeight="false" outlineLevel="0" collapsed="false">
      <c r="A241" s="1"/>
      <c r="B241" s="8" t="str">
        <f aca="false">IF(D241="","","P-"&amp;TEXT(ROW()-6,"000"))</f>
        <v/>
      </c>
      <c r="C241" s="10"/>
      <c r="D241" s="10"/>
      <c r="E241" s="10"/>
      <c r="F241" s="18"/>
      <c r="G241" s="11"/>
      <c r="H241" s="10"/>
      <c r="I241" s="12" t="str">
        <f aca="false">IF(H241="","",IF(H241&lt;10,"Sí","No"))</f>
        <v/>
      </c>
      <c r="J241" s="10"/>
      <c r="K241" s="12" t="str">
        <f aca="false">IF(B241="","",COUNTIFS(Competencia!$B$7:$B$406,B241,Competencia!$G$7:$G$406,"Sí"))</f>
        <v/>
      </c>
      <c r="L241" s="10"/>
      <c r="M241" s="10"/>
      <c r="N241" s="1"/>
      <c r="O241" s="1"/>
    </row>
    <row r="242" customFormat="false" ht="15" hidden="false" customHeight="false" outlineLevel="0" collapsed="false">
      <c r="A242" s="1"/>
      <c r="B242" s="13" t="str">
        <f aca="false">IF(D242="","","P-"&amp;TEXT(ROW()-6,"000"))</f>
        <v/>
      </c>
      <c r="C242" s="15"/>
      <c r="D242" s="15"/>
      <c r="E242" s="15"/>
      <c r="F242" s="19"/>
      <c r="G242" s="16"/>
      <c r="H242" s="15"/>
      <c r="I242" s="17" t="str">
        <f aca="false">IF(H242="","",IF(H242&lt;10,"Sí","No"))</f>
        <v/>
      </c>
      <c r="J242" s="15"/>
      <c r="K242" s="17" t="str">
        <f aca="false">IF(B242="","",COUNTIFS(Competencia!$B$7:$B$406,B242,Competencia!$G$7:$G$406,"Sí"))</f>
        <v/>
      </c>
      <c r="L242" s="15"/>
      <c r="M242" s="15"/>
      <c r="N242" s="1"/>
      <c r="O242" s="1"/>
    </row>
    <row r="243" customFormat="false" ht="15" hidden="false" customHeight="false" outlineLevel="0" collapsed="false">
      <c r="A243" s="1"/>
      <c r="B243" s="8" t="str">
        <f aca="false">IF(D243="","","P-"&amp;TEXT(ROW()-6,"000"))</f>
        <v/>
      </c>
      <c r="C243" s="10"/>
      <c r="D243" s="10"/>
      <c r="E243" s="10"/>
      <c r="F243" s="18"/>
      <c r="G243" s="11"/>
      <c r="H243" s="10"/>
      <c r="I243" s="12" t="str">
        <f aca="false">IF(H243="","",IF(H243&lt;10,"Sí","No"))</f>
        <v/>
      </c>
      <c r="J243" s="10"/>
      <c r="K243" s="12" t="str">
        <f aca="false">IF(B243="","",COUNTIFS(Competencia!$B$7:$B$406,B243,Competencia!$G$7:$G$406,"Sí"))</f>
        <v/>
      </c>
      <c r="L243" s="10"/>
      <c r="M243" s="10"/>
      <c r="N243" s="1"/>
      <c r="O243" s="1"/>
    </row>
    <row r="244" customFormat="false" ht="15" hidden="false" customHeight="false" outlineLevel="0" collapsed="false">
      <c r="A244" s="1"/>
      <c r="B244" s="13" t="str">
        <f aca="false">IF(D244="","","P-"&amp;TEXT(ROW()-6,"000"))</f>
        <v/>
      </c>
      <c r="C244" s="15"/>
      <c r="D244" s="15"/>
      <c r="E244" s="15"/>
      <c r="F244" s="19"/>
      <c r="G244" s="16"/>
      <c r="H244" s="15"/>
      <c r="I244" s="17" t="str">
        <f aca="false">IF(H244="","",IF(H244&lt;10,"Sí","No"))</f>
        <v/>
      </c>
      <c r="J244" s="15"/>
      <c r="K244" s="17" t="str">
        <f aca="false">IF(B244="","",COUNTIFS(Competencia!$B$7:$B$406,B244,Competencia!$G$7:$G$406,"Sí"))</f>
        <v/>
      </c>
      <c r="L244" s="15"/>
      <c r="M244" s="15"/>
      <c r="N244" s="1"/>
      <c r="O244" s="1"/>
    </row>
    <row r="245" customFormat="false" ht="15" hidden="false" customHeight="false" outlineLevel="0" collapsed="false">
      <c r="A245" s="1"/>
      <c r="B245" s="8" t="str">
        <f aca="false">IF(D245="","","P-"&amp;TEXT(ROW()-6,"000"))</f>
        <v/>
      </c>
      <c r="C245" s="10"/>
      <c r="D245" s="10"/>
      <c r="E245" s="10"/>
      <c r="F245" s="18"/>
      <c r="G245" s="11"/>
      <c r="H245" s="10"/>
      <c r="I245" s="12" t="str">
        <f aca="false">IF(H245="","",IF(H245&lt;10,"Sí","No"))</f>
        <v/>
      </c>
      <c r="J245" s="10"/>
      <c r="K245" s="12" t="str">
        <f aca="false">IF(B245="","",COUNTIFS(Competencia!$B$7:$B$406,B245,Competencia!$G$7:$G$406,"Sí"))</f>
        <v/>
      </c>
      <c r="L245" s="10"/>
      <c r="M245" s="10"/>
      <c r="N245" s="1"/>
      <c r="O245" s="1"/>
    </row>
    <row r="246" customFormat="false" ht="15" hidden="false" customHeight="false" outlineLevel="0" collapsed="false">
      <c r="A246" s="1"/>
      <c r="B246" s="13" t="str">
        <f aca="false">IF(D246="","","P-"&amp;TEXT(ROW()-6,"000"))</f>
        <v/>
      </c>
      <c r="C246" s="15"/>
      <c r="D246" s="15"/>
      <c r="E246" s="15"/>
      <c r="F246" s="19"/>
      <c r="G246" s="16"/>
      <c r="H246" s="15"/>
      <c r="I246" s="17" t="str">
        <f aca="false">IF(H246="","",IF(H246&lt;10,"Sí","No"))</f>
        <v/>
      </c>
      <c r="J246" s="15"/>
      <c r="K246" s="17" t="str">
        <f aca="false">IF(B246="","",COUNTIFS(Competencia!$B$7:$B$406,B246,Competencia!$G$7:$G$406,"Sí"))</f>
        <v/>
      </c>
      <c r="L246" s="15"/>
      <c r="M246" s="15"/>
      <c r="N246" s="1"/>
      <c r="O246" s="1"/>
    </row>
    <row r="247" customFormat="false" ht="15" hidden="false" customHeight="false" outlineLevel="0" collapsed="false">
      <c r="A247" s="1"/>
      <c r="B247" s="8" t="str">
        <f aca="false">IF(D247="","","P-"&amp;TEXT(ROW()-6,"000"))</f>
        <v/>
      </c>
      <c r="C247" s="10"/>
      <c r="D247" s="10"/>
      <c r="E247" s="10"/>
      <c r="F247" s="18"/>
      <c r="G247" s="11"/>
      <c r="H247" s="10"/>
      <c r="I247" s="12" t="str">
        <f aca="false">IF(H247="","",IF(H247&lt;10,"Sí","No"))</f>
        <v/>
      </c>
      <c r="J247" s="10"/>
      <c r="K247" s="12" t="str">
        <f aca="false">IF(B247="","",COUNTIFS(Competencia!$B$7:$B$406,B247,Competencia!$G$7:$G$406,"Sí"))</f>
        <v/>
      </c>
      <c r="L247" s="10"/>
      <c r="M247" s="10"/>
      <c r="N247" s="1"/>
      <c r="O247" s="1"/>
    </row>
    <row r="248" customFormat="false" ht="15" hidden="false" customHeight="false" outlineLevel="0" collapsed="false">
      <c r="A248" s="1"/>
      <c r="B248" s="13" t="str">
        <f aca="false">IF(D248="","","P-"&amp;TEXT(ROW()-6,"000"))</f>
        <v/>
      </c>
      <c r="C248" s="15"/>
      <c r="D248" s="15"/>
      <c r="E248" s="15"/>
      <c r="F248" s="19"/>
      <c r="G248" s="16"/>
      <c r="H248" s="15"/>
      <c r="I248" s="17" t="str">
        <f aca="false">IF(H248="","",IF(H248&lt;10,"Sí","No"))</f>
        <v/>
      </c>
      <c r="J248" s="15"/>
      <c r="K248" s="17" t="str">
        <f aca="false">IF(B248="","",COUNTIFS(Competencia!$B$7:$B$406,B248,Competencia!$G$7:$G$406,"Sí"))</f>
        <v/>
      </c>
      <c r="L248" s="15"/>
      <c r="M248" s="15"/>
      <c r="N248" s="1"/>
      <c r="O248" s="1"/>
    </row>
    <row r="249" customFormat="false" ht="15" hidden="false" customHeight="false" outlineLevel="0" collapsed="false">
      <c r="A249" s="1"/>
      <c r="B249" s="8" t="str">
        <f aca="false">IF(D249="","","P-"&amp;TEXT(ROW()-6,"000"))</f>
        <v/>
      </c>
      <c r="C249" s="10"/>
      <c r="D249" s="10"/>
      <c r="E249" s="10"/>
      <c r="F249" s="18"/>
      <c r="G249" s="11"/>
      <c r="H249" s="10"/>
      <c r="I249" s="12" t="str">
        <f aca="false">IF(H249="","",IF(H249&lt;10,"Sí","No"))</f>
        <v/>
      </c>
      <c r="J249" s="10"/>
      <c r="K249" s="12" t="str">
        <f aca="false">IF(B249="","",COUNTIFS(Competencia!$B$7:$B$406,B249,Competencia!$G$7:$G$406,"Sí"))</f>
        <v/>
      </c>
      <c r="L249" s="10"/>
      <c r="M249" s="10"/>
      <c r="N249" s="1"/>
      <c r="O249" s="1"/>
    </row>
    <row r="250" customFormat="false" ht="15" hidden="false" customHeight="false" outlineLevel="0" collapsed="false">
      <c r="A250" s="1"/>
      <c r="B250" s="13" t="str">
        <f aca="false">IF(D250="","","P-"&amp;TEXT(ROW()-6,"000"))</f>
        <v/>
      </c>
      <c r="C250" s="15"/>
      <c r="D250" s="15"/>
      <c r="E250" s="15"/>
      <c r="F250" s="19"/>
      <c r="G250" s="16"/>
      <c r="H250" s="15"/>
      <c r="I250" s="17" t="str">
        <f aca="false">IF(H250="","",IF(H250&lt;10,"Sí","No"))</f>
        <v/>
      </c>
      <c r="J250" s="15"/>
      <c r="K250" s="17" t="str">
        <f aca="false">IF(B250="","",COUNTIFS(Competencia!$B$7:$B$406,B250,Competencia!$G$7:$G$406,"Sí"))</f>
        <v/>
      </c>
      <c r="L250" s="15"/>
      <c r="M250" s="15"/>
      <c r="N250" s="1"/>
      <c r="O250" s="1"/>
    </row>
    <row r="251" customFormat="false" ht="15" hidden="false" customHeight="false" outlineLevel="0" collapsed="false">
      <c r="A251" s="1"/>
      <c r="B251" s="8" t="str">
        <f aca="false">IF(D251="","","P-"&amp;TEXT(ROW()-6,"000"))</f>
        <v/>
      </c>
      <c r="C251" s="10"/>
      <c r="D251" s="10"/>
      <c r="E251" s="10"/>
      <c r="F251" s="18"/>
      <c r="G251" s="11"/>
      <c r="H251" s="10"/>
      <c r="I251" s="12" t="str">
        <f aca="false">IF(H251="","",IF(H251&lt;10,"Sí","No"))</f>
        <v/>
      </c>
      <c r="J251" s="10"/>
      <c r="K251" s="12" t="str">
        <f aca="false">IF(B251="","",COUNTIFS(Competencia!$B$7:$B$406,B251,Competencia!$G$7:$G$406,"Sí"))</f>
        <v/>
      </c>
      <c r="L251" s="10"/>
      <c r="M251" s="10"/>
      <c r="N251" s="1"/>
      <c r="O251" s="1"/>
    </row>
    <row r="252" customFormat="false" ht="15" hidden="false" customHeight="false" outlineLevel="0" collapsed="false">
      <c r="A252" s="1"/>
      <c r="B252" s="13" t="str">
        <f aca="false">IF(D252="","","P-"&amp;TEXT(ROW()-6,"000"))</f>
        <v/>
      </c>
      <c r="C252" s="15"/>
      <c r="D252" s="15"/>
      <c r="E252" s="15"/>
      <c r="F252" s="19"/>
      <c r="G252" s="16"/>
      <c r="H252" s="15"/>
      <c r="I252" s="17" t="str">
        <f aca="false">IF(H252="","",IF(H252&lt;10,"Sí","No"))</f>
        <v/>
      </c>
      <c r="J252" s="15"/>
      <c r="K252" s="17" t="str">
        <f aca="false">IF(B252="","",COUNTIFS(Competencia!$B$7:$B$406,B252,Competencia!$G$7:$G$406,"Sí"))</f>
        <v/>
      </c>
      <c r="L252" s="15"/>
      <c r="M252" s="15"/>
      <c r="N252" s="1"/>
      <c r="O252" s="1"/>
    </row>
    <row r="253" customFormat="false" ht="15" hidden="false" customHeight="false" outlineLevel="0" collapsed="false">
      <c r="A253" s="1"/>
      <c r="B253" s="8" t="str">
        <f aca="false">IF(D253="","","P-"&amp;TEXT(ROW()-6,"000"))</f>
        <v/>
      </c>
      <c r="C253" s="10"/>
      <c r="D253" s="10"/>
      <c r="E253" s="10"/>
      <c r="F253" s="18"/>
      <c r="G253" s="11"/>
      <c r="H253" s="10"/>
      <c r="I253" s="12" t="str">
        <f aca="false">IF(H253="","",IF(H253&lt;10,"Sí","No"))</f>
        <v/>
      </c>
      <c r="J253" s="10"/>
      <c r="K253" s="12" t="str">
        <f aca="false">IF(B253="","",COUNTIFS(Competencia!$B$7:$B$406,B253,Competencia!$G$7:$G$406,"Sí"))</f>
        <v/>
      </c>
      <c r="L253" s="10"/>
      <c r="M253" s="10"/>
      <c r="N253" s="1"/>
      <c r="O253" s="1"/>
    </row>
    <row r="254" customFormat="false" ht="15" hidden="false" customHeight="false" outlineLevel="0" collapsed="false">
      <c r="A254" s="1"/>
      <c r="B254" s="13" t="str">
        <f aca="false">IF(D254="","","P-"&amp;TEXT(ROW()-6,"000"))</f>
        <v/>
      </c>
      <c r="C254" s="15"/>
      <c r="D254" s="15"/>
      <c r="E254" s="15"/>
      <c r="F254" s="19"/>
      <c r="G254" s="16"/>
      <c r="H254" s="15"/>
      <c r="I254" s="17" t="str">
        <f aca="false">IF(H254="","",IF(H254&lt;10,"Sí","No"))</f>
        <v/>
      </c>
      <c r="J254" s="15"/>
      <c r="K254" s="17" t="str">
        <f aca="false">IF(B254="","",COUNTIFS(Competencia!$B$7:$B$406,B254,Competencia!$G$7:$G$406,"Sí"))</f>
        <v/>
      </c>
      <c r="L254" s="15"/>
      <c r="M254" s="15"/>
      <c r="N254" s="1"/>
      <c r="O254" s="1"/>
    </row>
    <row r="255" customFormat="false" ht="15" hidden="false" customHeight="false" outlineLevel="0" collapsed="false">
      <c r="A255" s="1"/>
      <c r="B255" s="8" t="str">
        <f aca="false">IF(D255="","","P-"&amp;TEXT(ROW()-6,"000"))</f>
        <v/>
      </c>
      <c r="C255" s="10"/>
      <c r="D255" s="10"/>
      <c r="E255" s="10"/>
      <c r="F255" s="18"/>
      <c r="G255" s="11"/>
      <c r="H255" s="10"/>
      <c r="I255" s="12" t="str">
        <f aca="false">IF(H255="","",IF(H255&lt;10,"Sí","No"))</f>
        <v/>
      </c>
      <c r="J255" s="10"/>
      <c r="K255" s="12" t="str">
        <f aca="false">IF(B255="","",COUNTIFS(Competencia!$B$7:$B$406,B255,Competencia!$G$7:$G$406,"Sí"))</f>
        <v/>
      </c>
      <c r="L255" s="10"/>
      <c r="M255" s="10"/>
      <c r="N255" s="1"/>
      <c r="O255" s="1"/>
    </row>
    <row r="256" customFormat="false" ht="15" hidden="false" customHeight="false" outlineLevel="0" collapsed="false">
      <c r="A256" s="1"/>
      <c r="B256" s="13" t="str">
        <f aca="false">IF(D256="","","P-"&amp;TEXT(ROW()-6,"000"))</f>
        <v/>
      </c>
      <c r="C256" s="15"/>
      <c r="D256" s="15"/>
      <c r="E256" s="15"/>
      <c r="F256" s="19"/>
      <c r="G256" s="16"/>
      <c r="H256" s="15"/>
      <c r="I256" s="17" t="str">
        <f aca="false">IF(H256="","",IF(H256&lt;10,"Sí","No"))</f>
        <v/>
      </c>
      <c r="J256" s="15"/>
      <c r="K256" s="17" t="str">
        <f aca="false">IF(B256="","",COUNTIFS(Competencia!$B$7:$B$406,B256,Competencia!$G$7:$G$406,"Sí"))</f>
        <v/>
      </c>
      <c r="L256" s="15"/>
      <c r="M256" s="15"/>
      <c r="N256" s="1"/>
      <c r="O256" s="1"/>
    </row>
    <row r="257" customFormat="false" ht="15" hidden="false" customHeight="false" outlineLevel="0" collapsed="false">
      <c r="A257" s="1"/>
      <c r="B257" s="8" t="str">
        <f aca="false">IF(D257="","","P-"&amp;TEXT(ROW()-6,"000"))</f>
        <v/>
      </c>
      <c r="C257" s="10"/>
      <c r="D257" s="10"/>
      <c r="E257" s="10"/>
      <c r="F257" s="18"/>
      <c r="G257" s="11"/>
      <c r="H257" s="10"/>
      <c r="I257" s="12" t="str">
        <f aca="false">IF(H257="","",IF(H257&lt;10,"Sí","No"))</f>
        <v/>
      </c>
      <c r="J257" s="10"/>
      <c r="K257" s="12" t="str">
        <f aca="false">IF(B257="","",COUNTIFS(Competencia!$B$7:$B$406,B257,Competencia!$G$7:$G$406,"Sí"))</f>
        <v/>
      </c>
      <c r="L257" s="10"/>
      <c r="M257" s="10"/>
      <c r="N257" s="1"/>
      <c r="O257" s="1"/>
    </row>
    <row r="258" customFormat="false" ht="15" hidden="false" customHeight="false" outlineLevel="0" collapsed="false">
      <c r="A258" s="1"/>
      <c r="B258" s="13" t="str">
        <f aca="false">IF(D258="","","P-"&amp;TEXT(ROW()-6,"000"))</f>
        <v/>
      </c>
      <c r="C258" s="15"/>
      <c r="D258" s="15"/>
      <c r="E258" s="15"/>
      <c r="F258" s="19"/>
      <c r="G258" s="16"/>
      <c r="H258" s="15"/>
      <c r="I258" s="17" t="str">
        <f aca="false">IF(H258="","",IF(H258&lt;10,"Sí","No"))</f>
        <v/>
      </c>
      <c r="J258" s="15"/>
      <c r="K258" s="17" t="str">
        <f aca="false">IF(B258="","",COUNTIFS(Competencia!$B$7:$B$406,B258,Competencia!$G$7:$G$406,"Sí"))</f>
        <v/>
      </c>
      <c r="L258" s="15"/>
      <c r="M258" s="15"/>
      <c r="N258" s="1"/>
      <c r="O258" s="1"/>
    </row>
    <row r="259" customFormat="false" ht="15" hidden="false" customHeight="false" outlineLevel="0" collapsed="false">
      <c r="A259" s="1"/>
      <c r="B259" s="8" t="str">
        <f aca="false">IF(D259="","","P-"&amp;TEXT(ROW()-6,"000"))</f>
        <v/>
      </c>
      <c r="C259" s="10"/>
      <c r="D259" s="10"/>
      <c r="E259" s="10"/>
      <c r="F259" s="18"/>
      <c r="G259" s="11"/>
      <c r="H259" s="10"/>
      <c r="I259" s="12" t="str">
        <f aca="false">IF(H259="","",IF(H259&lt;10,"Sí","No"))</f>
        <v/>
      </c>
      <c r="J259" s="10"/>
      <c r="K259" s="12" t="str">
        <f aca="false">IF(B259="","",COUNTIFS(Competencia!$B$7:$B$406,B259,Competencia!$G$7:$G$406,"Sí"))</f>
        <v/>
      </c>
      <c r="L259" s="10"/>
      <c r="M259" s="10"/>
      <c r="N259" s="1"/>
      <c r="O259" s="1"/>
    </row>
    <row r="260" customFormat="false" ht="15" hidden="false" customHeight="false" outlineLevel="0" collapsed="false">
      <c r="A260" s="1"/>
      <c r="B260" s="13" t="str">
        <f aca="false">IF(D260="","","P-"&amp;TEXT(ROW()-6,"000"))</f>
        <v/>
      </c>
      <c r="C260" s="15"/>
      <c r="D260" s="15"/>
      <c r="E260" s="15"/>
      <c r="F260" s="19"/>
      <c r="G260" s="16"/>
      <c r="H260" s="15"/>
      <c r="I260" s="17" t="str">
        <f aca="false">IF(H260="","",IF(H260&lt;10,"Sí","No"))</f>
        <v/>
      </c>
      <c r="J260" s="15"/>
      <c r="K260" s="17" t="str">
        <f aca="false">IF(B260="","",COUNTIFS(Competencia!$B$7:$B$406,B260,Competencia!$G$7:$G$406,"Sí"))</f>
        <v/>
      </c>
      <c r="L260" s="15"/>
      <c r="M260" s="15"/>
      <c r="N260" s="1"/>
      <c r="O260" s="1"/>
    </row>
    <row r="261" customFormat="false" ht="15" hidden="false" customHeight="false" outlineLevel="0" collapsed="false">
      <c r="A261" s="1"/>
      <c r="B261" s="8" t="str">
        <f aca="false">IF(D261="","","P-"&amp;TEXT(ROW()-6,"000"))</f>
        <v/>
      </c>
      <c r="C261" s="10"/>
      <c r="D261" s="10"/>
      <c r="E261" s="10"/>
      <c r="F261" s="18"/>
      <c r="G261" s="11"/>
      <c r="H261" s="10"/>
      <c r="I261" s="12" t="str">
        <f aca="false">IF(H261="","",IF(H261&lt;10,"Sí","No"))</f>
        <v/>
      </c>
      <c r="J261" s="10"/>
      <c r="K261" s="12" t="str">
        <f aca="false">IF(B261="","",COUNTIFS(Competencia!$B$7:$B$406,B261,Competencia!$G$7:$G$406,"Sí"))</f>
        <v/>
      </c>
      <c r="L261" s="10"/>
      <c r="M261" s="10"/>
      <c r="N261" s="1"/>
      <c r="O261" s="1"/>
    </row>
    <row r="262" customFormat="false" ht="15" hidden="false" customHeight="false" outlineLevel="0" collapsed="false">
      <c r="A262" s="1"/>
      <c r="B262" s="13" t="str">
        <f aca="false">IF(D262="","","P-"&amp;TEXT(ROW()-6,"000"))</f>
        <v/>
      </c>
      <c r="C262" s="15"/>
      <c r="D262" s="15"/>
      <c r="E262" s="15"/>
      <c r="F262" s="19"/>
      <c r="G262" s="16"/>
      <c r="H262" s="15"/>
      <c r="I262" s="17" t="str">
        <f aca="false">IF(H262="","",IF(H262&lt;10,"Sí","No"))</f>
        <v/>
      </c>
      <c r="J262" s="15"/>
      <c r="K262" s="17" t="str">
        <f aca="false">IF(B262="","",COUNTIFS(Competencia!$B$7:$B$406,B262,Competencia!$G$7:$G$406,"Sí"))</f>
        <v/>
      </c>
      <c r="L262" s="15"/>
      <c r="M262" s="15"/>
      <c r="N262" s="1"/>
      <c r="O262" s="1"/>
    </row>
    <row r="263" customFormat="false" ht="15" hidden="false" customHeight="false" outlineLevel="0" collapsed="false">
      <c r="A263" s="1"/>
      <c r="B263" s="8" t="str">
        <f aca="false">IF(D263="","","P-"&amp;TEXT(ROW()-6,"000"))</f>
        <v/>
      </c>
      <c r="C263" s="10"/>
      <c r="D263" s="10"/>
      <c r="E263" s="10"/>
      <c r="F263" s="18"/>
      <c r="G263" s="11"/>
      <c r="H263" s="10"/>
      <c r="I263" s="12" t="str">
        <f aca="false">IF(H263="","",IF(H263&lt;10,"Sí","No"))</f>
        <v/>
      </c>
      <c r="J263" s="10"/>
      <c r="K263" s="12" t="str">
        <f aca="false">IF(B263="","",COUNTIFS(Competencia!$B$7:$B$406,B263,Competencia!$G$7:$G$406,"Sí"))</f>
        <v/>
      </c>
      <c r="L263" s="10"/>
      <c r="M263" s="10"/>
      <c r="N263" s="1"/>
      <c r="O263" s="1"/>
    </row>
    <row r="264" customFormat="false" ht="15" hidden="false" customHeight="false" outlineLevel="0" collapsed="false">
      <c r="A264" s="1"/>
      <c r="B264" s="13" t="str">
        <f aca="false">IF(D264="","","P-"&amp;TEXT(ROW()-6,"000"))</f>
        <v/>
      </c>
      <c r="C264" s="15"/>
      <c r="D264" s="15"/>
      <c r="E264" s="15"/>
      <c r="F264" s="19"/>
      <c r="G264" s="16"/>
      <c r="H264" s="15"/>
      <c r="I264" s="17" t="str">
        <f aca="false">IF(H264="","",IF(H264&lt;10,"Sí","No"))</f>
        <v/>
      </c>
      <c r="J264" s="15"/>
      <c r="K264" s="17" t="str">
        <f aca="false">IF(B264="","",COUNTIFS(Competencia!$B$7:$B$406,B264,Competencia!$G$7:$G$406,"Sí"))</f>
        <v/>
      </c>
      <c r="L264" s="15"/>
      <c r="M264" s="15"/>
      <c r="N264" s="1"/>
      <c r="O264" s="1"/>
    </row>
    <row r="265" customFormat="false" ht="15" hidden="false" customHeight="false" outlineLevel="0" collapsed="false">
      <c r="A265" s="1"/>
      <c r="B265" s="8" t="str">
        <f aca="false">IF(D265="","","P-"&amp;TEXT(ROW()-6,"000"))</f>
        <v/>
      </c>
      <c r="C265" s="10"/>
      <c r="D265" s="10"/>
      <c r="E265" s="10"/>
      <c r="F265" s="18"/>
      <c r="G265" s="11"/>
      <c r="H265" s="10"/>
      <c r="I265" s="12" t="str">
        <f aca="false">IF(H265="","",IF(H265&lt;10,"Sí","No"))</f>
        <v/>
      </c>
      <c r="J265" s="10"/>
      <c r="K265" s="12" t="str">
        <f aca="false">IF(B265="","",COUNTIFS(Competencia!$B$7:$B$406,B265,Competencia!$G$7:$G$406,"Sí"))</f>
        <v/>
      </c>
      <c r="L265" s="10"/>
      <c r="M265" s="10"/>
      <c r="N265" s="1"/>
      <c r="O265" s="1"/>
    </row>
    <row r="266" customFormat="false" ht="15" hidden="false" customHeight="false" outlineLevel="0" collapsed="false">
      <c r="A266" s="1"/>
      <c r="B266" s="13" t="str">
        <f aca="false">IF(D266="","","P-"&amp;TEXT(ROW()-6,"000"))</f>
        <v/>
      </c>
      <c r="C266" s="15"/>
      <c r="D266" s="15"/>
      <c r="E266" s="15"/>
      <c r="F266" s="19"/>
      <c r="G266" s="16"/>
      <c r="H266" s="15"/>
      <c r="I266" s="17" t="str">
        <f aca="false">IF(H266="","",IF(H266&lt;10,"Sí","No"))</f>
        <v/>
      </c>
      <c r="J266" s="15"/>
      <c r="K266" s="17" t="str">
        <f aca="false">IF(B266="","",COUNTIFS(Competencia!$B$7:$B$406,B266,Competencia!$G$7:$G$406,"Sí"))</f>
        <v/>
      </c>
      <c r="L266" s="15"/>
      <c r="M266" s="15"/>
      <c r="N266" s="1"/>
      <c r="O266" s="1"/>
    </row>
    <row r="267" customFormat="false" ht="15" hidden="false" customHeight="false" outlineLevel="0" collapsed="false">
      <c r="A267" s="1"/>
      <c r="B267" s="8" t="str">
        <f aca="false">IF(D267="","","P-"&amp;TEXT(ROW()-6,"000"))</f>
        <v/>
      </c>
      <c r="C267" s="10"/>
      <c r="D267" s="10"/>
      <c r="E267" s="10"/>
      <c r="F267" s="18"/>
      <c r="G267" s="11"/>
      <c r="H267" s="10"/>
      <c r="I267" s="12" t="str">
        <f aca="false">IF(H267="","",IF(H267&lt;10,"Sí","No"))</f>
        <v/>
      </c>
      <c r="J267" s="10"/>
      <c r="K267" s="12" t="str">
        <f aca="false">IF(B267="","",COUNTIFS(Competencia!$B$7:$B$406,B267,Competencia!$G$7:$G$406,"Sí"))</f>
        <v/>
      </c>
      <c r="L267" s="10"/>
      <c r="M267" s="10"/>
      <c r="N267" s="1"/>
      <c r="O267" s="1"/>
    </row>
    <row r="268" customFormat="false" ht="15" hidden="false" customHeight="false" outlineLevel="0" collapsed="false">
      <c r="A268" s="1"/>
      <c r="B268" s="13" t="str">
        <f aca="false">IF(D268="","","P-"&amp;TEXT(ROW()-6,"000"))</f>
        <v/>
      </c>
      <c r="C268" s="15"/>
      <c r="D268" s="15"/>
      <c r="E268" s="15"/>
      <c r="F268" s="19"/>
      <c r="G268" s="16"/>
      <c r="H268" s="15"/>
      <c r="I268" s="17" t="str">
        <f aca="false">IF(H268="","",IF(H268&lt;10,"Sí","No"))</f>
        <v/>
      </c>
      <c r="J268" s="15"/>
      <c r="K268" s="17" t="str">
        <f aca="false">IF(B268="","",COUNTIFS(Competencia!$B$7:$B$406,B268,Competencia!$G$7:$G$406,"Sí"))</f>
        <v/>
      </c>
      <c r="L268" s="15"/>
      <c r="M268" s="15"/>
      <c r="N268" s="1"/>
      <c r="O268" s="1"/>
    </row>
    <row r="269" customFormat="false" ht="15" hidden="false" customHeight="false" outlineLevel="0" collapsed="false">
      <c r="A269" s="1"/>
      <c r="B269" s="8" t="str">
        <f aca="false">IF(D269="","","P-"&amp;TEXT(ROW()-6,"000"))</f>
        <v/>
      </c>
      <c r="C269" s="10"/>
      <c r="D269" s="10"/>
      <c r="E269" s="10"/>
      <c r="F269" s="18"/>
      <c r="G269" s="11"/>
      <c r="H269" s="10"/>
      <c r="I269" s="12" t="str">
        <f aca="false">IF(H269="","",IF(H269&lt;10,"Sí","No"))</f>
        <v/>
      </c>
      <c r="J269" s="10"/>
      <c r="K269" s="12" t="str">
        <f aca="false">IF(B269="","",COUNTIFS(Competencia!$B$7:$B$406,B269,Competencia!$G$7:$G$406,"Sí"))</f>
        <v/>
      </c>
      <c r="L269" s="10"/>
      <c r="M269" s="10"/>
      <c r="N269" s="1"/>
      <c r="O269" s="1"/>
    </row>
    <row r="270" customFormat="false" ht="15" hidden="false" customHeight="false" outlineLevel="0" collapsed="false">
      <c r="A270" s="1"/>
      <c r="B270" s="13" t="str">
        <f aca="false">IF(D270="","","P-"&amp;TEXT(ROW()-6,"000"))</f>
        <v/>
      </c>
      <c r="C270" s="15"/>
      <c r="D270" s="15"/>
      <c r="E270" s="15"/>
      <c r="F270" s="19"/>
      <c r="G270" s="16"/>
      <c r="H270" s="15"/>
      <c r="I270" s="17" t="str">
        <f aca="false">IF(H270="","",IF(H270&lt;10,"Sí","No"))</f>
        <v/>
      </c>
      <c r="J270" s="15"/>
      <c r="K270" s="17" t="str">
        <f aca="false">IF(B270="","",COUNTIFS(Competencia!$B$7:$B$406,B270,Competencia!$G$7:$G$406,"Sí"))</f>
        <v/>
      </c>
      <c r="L270" s="15"/>
      <c r="M270" s="15"/>
      <c r="N270" s="1"/>
      <c r="O270" s="1"/>
    </row>
    <row r="271" customFormat="false" ht="15" hidden="false" customHeight="false" outlineLevel="0" collapsed="false">
      <c r="A271" s="1"/>
      <c r="B271" s="8" t="str">
        <f aca="false">IF(D271="","","P-"&amp;TEXT(ROW()-6,"000"))</f>
        <v/>
      </c>
      <c r="C271" s="10"/>
      <c r="D271" s="10"/>
      <c r="E271" s="10"/>
      <c r="F271" s="18"/>
      <c r="G271" s="11"/>
      <c r="H271" s="10"/>
      <c r="I271" s="12" t="str">
        <f aca="false">IF(H271="","",IF(H271&lt;10,"Sí","No"))</f>
        <v/>
      </c>
      <c r="J271" s="10"/>
      <c r="K271" s="12" t="str">
        <f aca="false">IF(B271="","",COUNTIFS(Competencia!$B$7:$B$406,B271,Competencia!$G$7:$G$406,"Sí"))</f>
        <v/>
      </c>
      <c r="L271" s="10"/>
      <c r="M271" s="10"/>
      <c r="N271" s="1"/>
      <c r="O271" s="1"/>
    </row>
    <row r="272" customFormat="false" ht="15" hidden="false" customHeight="false" outlineLevel="0" collapsed="false">
      <c r="A272" s="1"/>
      <c r="B272" s="13" t="str">
        <f aca="false">IF(D272="","","P-"&amp;TEXT(ROW()-6,"000"))</f>
        <v/>
      </c>
      <c r="C272" s="15"/>
      <c r="D272" s="15"/>
      <c r="E272" s="15"/>
      <c r="F272" s="19"/>
      <c r="G272" s="16"/>
      <c r="H272" s="15"/>
      <c r="I272" s="17" t="str">
        <f aca="false">IF(H272="","",IF(H272&lt;10,"Sí","No"))</f>
        <v/>
      </c>
      <c r="J272" s="15"/>
      <c r="K272" s="17" t="str">
        <f aca="false">IF(B272="","",COUNTIFS(Competencia!$B$7:$B$406,B272,Competencia!$G$7:$G$406,"Sí"))</f>
        <v/>
      </c>
      <c r="L272" s="15"/>
      <c r="M272" s="15"/>
      <c r="N272" s="1"/>
      <c r="O272" s="1"/>
    </row>
    <row r="273" customFormat="false" ht="15" hidden="false" customHeight="false" outlineLevel="0" collapsed="false">
      <c r="A273" s="1"/>
      <c r="B273" s="8" t="str">
        <f aca="false">IF(D273="","","P-"&amp;TEXT(ROW()-6,"000"))</f>
        <v/>
      </c>
      <c r="C273" s="10"/>
      <c r="D273" s="10"/>
      <c r="E273" s="10"/>
      <c r="F273" s="18"/>
      <c r="G273" s="11"/>
      <c r="H273" s="10"/>
      <c r="I273" s="12" t="str">
        <f aca="false">IF(H273="","",IF(H273&lt;10,"Sí","No"))</f>
        <v/>
      </c>
      <c r="J273" s="10"/>
      <c r="K273" s="12" t="str">
        <f aca="false">IF(B273="","",COUNTIFS(Competencia!$B$7:$B$406,B273,Competencia!$G$7:$G$406,"Sí"))</f>
        <v/>
      </c>
      <c r="L273" s="10"/>
      <c r="M273" s="10"/>
      <c r="N273" s="1"/>
      <c r="O273" s="1"/>
    </row>
    <row r="274" customFormat="false" ht="15" hidden="false" customHeight="false" outlineLevel="0" collapsed="false">
      <c r="A274" s="1"/>
      <c r="B274" s="13" t="str">
        <f aca="false">IF(D274="","","P-"&amp;TEXT(ROW()-6,"000"))</f>
        <v/>
      </c>
      <c r="C274" s="15"/>
      <c r="D274" s="15"/>
      <c r="E274" s="15"/>
      <c r="F274" s="19"/>
      <c r="G274" s="16"/>
      <c r="H274" s="15"/>
      <c r="I274" s="17" t="str">
        <f aca="false">IF(H274="","",IF(H274&lt;10,"Sí","No"))</f>
        <v/>
      </c>
      <c r="J274" s="15"/>
      <c r="K274" s="17" t="str">
        <f aca="false">IF(B274="","",COUNTIFS(Competencia!$B$7:$B$406,B274,Competencia!$G$7:$G$406,"Sí"))</f>
        <v/>
      </c>
      <c r="L274" s="15"/>
      <c r="M274" s="15"/>
      <c r="N274" s="1"/>
      <c r="O274" s="1"/>
    </row>
    <row r="275" customFormat="false" ht="15" hidden="false" customHeight="false" outlineLevel="0" collapsed="false">
      <c r="A275" s="1"/>
      <c r="B275" s="8" t="str">
        <f aca="false">IF(D275="","","P-"&amp;TEXT(ROW()-6,"000"))</f>
        <v/>
      </c>
      <c r="C275" s="10"/>
      <c r="D275" s="10"/>
      <c r="E275" s="10"/>
      <c r="F275" s="18"/>
      <c r="G275" s="11"/>
      <c r="H275" s="10"/>
      <c r="I275" s="12" t="str">
        <f aca="false">IF(H275="","",IF(H275&lt;10,"Sí","No"))</f>
        <v/>
      </c>
      <c r="J275" s="10"/>
      <c r="K275" s="12" t="str">
        <f aca="false">IF(B275="","",COUNTIFS(Competencia!$B$7:$B$406,B275,Competencia!$G$7:$G$406,"Sí"))</f>
        <v/>
      </c>
      <c r="L275" s="10"/>
      <c r="M275" s="10"/>
      <c r="N275" s="1"/>
      <c r="O275" s="1"/>
    </row>
    <row r="276" customFormat="false" ht="15" hidden="false" customHeight="false" outlineLevel="0" collapsed="false">
      <c r="A276" s="1"/>
      <c r="B276" s="13" t="str">
        <f aca="false">IF(D276="","","P-"&amp;TEXT(ROW()-6,"000"))</f>
        <v/>
      </c>
      <c r="C276" s="15"/>
      <c r="D276" s="15"/>
      <c r="E276" s="15"/>
      <c r="F276" s="19"/>
      <c r="G276" s="16"/>
      <c r="H276" s="15"/>
      <c r="I276" s="17" t="str">
        <f aca="false">IF(H276="","",IF(H276&lt;10,"Sí","No"))</f>
        <v/>
      </c>
      <c r="J276" s="15"/>
      <c r="K276" s="17" t="str">
        <f aca="false">IF(B276="","",COUNTIFS(Competencia!$B$7:$B$406,B276,Competencia!$G$7:$G$406,"Sí"))</f>
        <v/>
      </c>
      <c r="L276" s="15"/>
      <c r="M276" s="15"/>
      <c r="N276" s="1"/>
      <c r="O276" s="1"/>
    </row>
    <row r="277" customFormat="false" ht="15" hidden="false" customHeight="false" outlineLevel="0" collapsed="false">
      <c r="A277" s="1"/>
      <c r="B277" s="8" t="str">
        <f aca="false">IF(D277="","","P-"&amp;TEXT(ROW()-6,"000"))</f>
        <v/>
      </c>
      <c r="C277" s="10"/>
      <c r="D277" s="10"/>
      <c r="E277" s="10"/>
      <c r="F277" s="18"/>
      <c r="G277" s="11"/>
      <c r="H277" s="10"/>
      <c r="I277" s="12" t="str">
        <f aca="false">IF(H277="","",IF(H277&lt;10,"Sí","No"))</f>
        <v/>
      </c>
      <c r="J277" s="10"/>
      <c r="K277" s="12" t="str">
        <f aca="false">IF(B277="","",COUNTIFS(Competencia!$B$7:$B$406,B277,Competencia!$G$7:$G$406,"Sí"))</f>
        <v/>
      </c>
      <c r="L277" s="10"/>
      <c r="M277" s="10"/>
      <c r="N277" s="1"/>
      <c r="O277" s="1"/>
    </row>
    <row r="278" customFormat="false" ht="15" hidden="false" customHeight="false" outlineLevel="0" collapsed="false">
      <c r="A278" s="1"/>
      <c r="B278" s="13" t="str">
        <f aca="false">IF(D278="","","P-"&amp;TEXT(ROW()-6,"000"))</f>
        <v/>
      </c>
      <c r="C278" s="15"/>
      <c r="D278" s="15"/>
      <c r="E278" s="15"/>
      <c r="F278" s="19"/>
      <c r="G278" s="16"/>
      <c r="H278" s="15"/>
      <c r="I278" s="17" t="str">
        <f aca="false">IF(H278="","",IF(H278&lt;10,"Sí","No"))</f>
        <v/>
      </c>
      <c r="J278" s="15"/>
      <c r="K278" s="17" t="str">
        <f aca="false">IF(B278="","",COUNTIFS(Competencia!$B$7:$B$406,B278,Competencia!$G$7:$G$406,"Sí"))</f>
        <v/>
      </c>
      <c r="L278" s="15"/>
      <c r="M278" s="15"/>
      <c r="N278" s="1"/>
      <c r="O278" s="1"/>
    </row>
    <row r="279" customFormat="false" ht="15" hidden="false" customHeight="false" outlineLevel="0" collapsed="false">
      <c r="A279" s="1"/>
      <c r="B279" s="8" t="str">
        <f aca="false">IF(D279="","","P-"&amp;TEXT(ROW()-6,"000"))</f>
        <v/>
      </c>
      <c r="C279" s="10"/>
      <c r="D279" s="10"/>
      <c r="E279" s="10"/>
      <c r="F279" s="18"/>
      <c r="G279" s="11"/>
      <c r="H279" s="10"/>
      <c r="I279" s="12" t="str">
        <f aca="false">IF(H279="","",IF(H279&lt;10,"Sí","No"))</f>
        <v/>
      </c>
      <c r="J279" s="10"/>
      <c r="K279" s="12" t="str">
        <f aca="false">IF(B279="","",COUNTIFS(Competencia!$B$7:$B$406,B279,Competencia!$G$7:$G$406,"Sí"))</f>
        <v/>
      </c>
      <c r="L279" s="10"/>
      <c r="M279" s="10"/>
      <c r="N279" s="1"/>
      <c r="O279" s="1"/>
    </row>
    <row r="280" customFormat="false" ht="15" hidden="false" customHeight="false" outlineLevel="0" collapsed="false">
      <c r="A280" s="1"/>
      <c r="B280" s="13" t="str">
        <f aca="false">IF(D280="","","P-"&amp;TEXT(ROW()-6,"000"))</f>
        <v/>
      </c>
      <c r="C280" s="15"/>
      <c r="D280" s="15"/>
      <c r="E280" s="15"/>
      <c r="F280" s="19"/>
      <c r="G280" s="16"/>
      <c r="H280" s="15"/>
      <c r="I280" s="17" t="str">
        <f aca="false">IF(H280="","",IF(H280&lt;10,"Sí","No"))</f>
        <v/>
      </c>
      <c r="J280" s="15"/>
      <c r="K280" s="17" t="str">
        <f aca="false">IF(B280="","",COUNTIFS(Competencia!$B$7:$B$406,B280,Competencia!$G$7:$G$406,"Sí"))</f>
        <v/>
      </c>
      <c r="L280" s="15"/>
      <c r="M280" s="15"/>
      <c r="N280" s="1"/>
      <c r="O280" s="1"/>
    </row>
    <row r="281" customFormat="false" ht="15" hidden="false" customHeight="false" outlineLevel="0" collapsed="false">
      <c r="A281" s="1"/>
      <c r="B281" s="8" t="str">
        <f aca="false">IF(D281="","","P-"&amp;TEXT(ROW()-6,"000"))</f>
        <v/>
      </c>
      <c r="C281" s="10"/>
      <c r="D281" s="10"/>
      <c r="E281" s="10"/>
      <c r="F281" s="18"/>
      <c r="G281" s="11"/>
      <c r="H281" s="10"/>
      <c r="I281" s="12" t="str">
        <f aca="false">IF(H281="","",IF(H281&lt;10,"Sí","No"))</f>
        <v/>
      </c>
      <c r="J281" s="10"/>
      <c r="K281" s="12" t="str">
        <f aca="false">IF(B281="","",COUNTIFS(Competencia!$B$7:$B$406,B281,Competencia!$G$7:$G$406,"Sí"))</f>
        <v/>
      </c>
      <c r="L281" s="10"/>
      <c r="M281" s="10"/>
      <c r="N281" s="1"/>
      <c r="O281" s="1"/>
    </row>
    <row r="282" customFormat="false" ht="15" hidden="false" customHeight="false" outlineLevel="0" collapsed="false">
      <c r="A282" s="1"/>
      <c r="B282" s="13" t="str">
        <f aca="false">IF(D282="","","P-"&amp;TEXT(ROW()-6,"000"))</f>
        <v/>
      </c>
      <c r="C282" s="15"/>
      <c r="D282" s="15"/>
      <c r="E282" s="15"/>
      <c r="F282" s="19"/>
      <c r="G282" s="16"/>
      <c r="H282" s="15"/>
      <c r="I282" s="17" t="str">
        <f aca="false">IF(H282="","",IF(H282&lt;10,"Sí","No"))</f>
        <v/>
      </c>
      <c r="J282" s="15"/>
      <c r="K282" s="17" t="str">
        <f aca="false">IF(B282="","",COUNTIFS(Competencia!$B$7:$B$406,B282,Competencia!$G$7:$G$406,"Sí"))</f>
        <v/>
      </c>
      <c r="L282" s="15"/>
      <c r="M282" s="15"/>
      <c r="N282" s="1"/>
      <c r="O282" s="1"/>
    </row>
    <row r="283" customFormat="false" ht="15" hidden="false" customHeight="false" outlineLevel="0" collapsed="false">
      <c r="A283" s="1"/>
      <c r="B283" s="8" t="str">
        <f aca="false">IF(D283="","","P-"&amp;TEXT(ROW()-6,"000"))</f>
        <v/>
      </c>
      <c r="C283" s="10"/>
      <c r="D283" s="10"/>
      <c r="E283" s="10"/>
      <c r="F283" s="18"/>
      <c r="G283" s="11"/>
      <c r="H283" s="10"/>
      <c r="I283" s="12" t="str">
        <f aca="false">IF(H283="","",IF(H283&lt;10,"Sí","No"))</f>
        <v/>
      </c>
      <c r="J283" s="10"/>
      <c r="K283" s="12" t="str">
        <f aca="false">IF(B283="","",COUNTIFS(Competencia!$B$7:$B$406,B283,Competencia!$G$7:$G$406,"Sí"))</f>
        <v/>
      </c>
      <c r="L283" s="10"/>
      <c r="M283" s="10"/>
      <c r="N283" s="1"/>
      <c r="O283" s="1"/>
    </row>
    <row r="284" customFormat="false" ht="15" hidden="false" customHeight="false" outlineLevel="0" collapsed="false">
      <c r="A284" s="1"/>
      <c r="B284" s="13" t="str">
        <f aca="false">IF(D284="","","P-"&amp;TEXT(ROW()-6,"000"))</f>
        <v/>
      </c>
      <c r="C284" s="15"/>
      <c r="D284" s="15"/>
      <c r="E284" s="15"/>
      <c r="F284" s="19"/>
      <c r="G284" s="16"/>
      <c r="H284" s="15"/>
      <c r="I284" s="17" t="str">
        <f aca="false">IF(H284="","",IF(H284&lt;10,"Sí","No"))</f>
        <v/>
      </c>
      <c r="J284" s="15"/>
      <c r="K284" s="17" t="str">
        <f aca="false">IF(B284="","",COUNTIFS(Competencia!$B$7:$B$406,B284,Competencia!$G$7:$G$406,"Sí"))</f>
        <v/>
      </c>
      <c r="L284" s="15"/>
      <c r="M284" s="15"/>
      <c r="N284" s="1"/>
      <c r="O284" s="1"/>
    </row>
    <row r="285" customFormat="false" ht="15" hidden="false" customHeight="false" outlineLevel="0" collapsed="false">
      <c r="A285" s="1"/>
      <c r="B285" s="8" t="str">
        <f aca="false">IF(D285="","","P-"&amp;TEXT(ROW()-6,"000"))</f>
        <v/>
      </c>
      <c r="C285" s="10"/>
      <c r="D285" s="10"/>
      <c r="E285" s="10"/>
      <c r="F285" s="18"/>
      <c r="G285" s="11"/>
      <c r="H285" s="10"/>
      <c r="I285" s="12" t="str">
        <f aca="false">IF(H285="","",IF(H285&lt;10,"Sí","No"))</f>
        <v/>
      </c>
      <c r="J285" s="10"/>
      <c r="K285" s="12" t="str">
        <f aca="false">IF(B285="","",COUNTIFS(Competencia!$B$7:$B$406,B285,Competencia!$G$7:$G$406,"Sí"))</f>
        <v/>
      </c>
      <c r="L285" s="10"/>
      <c r="M285" s="10"/>
      <c r="N285" s="1"/>
      <c r="O285" s="1"/>
    </row>
    <row r="286" customFormat="false" ht="15" hidden="false" customHeight="false" outlineLevel="0" collapsed="false">
      <c r="A286" s="1"/>
      <c r="B286" s="13" t="str">
        <f aca="false">IF(D286="","","P-"&amp;TEXT(ROW()-6,"000"))</f>
        <v/>
      </c>
      <c r="C286" s="15"/>
      <c r="D286" s="15"/>
      <c r="E286" s="15"/>
      <c r="F286" s="19"/>
      <c r="G286" s="16"/>
      <c r="H286" s="15"/>
      <c r="I286" s="17" t="str">
        <f aca="false">IF(H286="","",IF(H286&lt;10,"Sí","No"))</f>
        <v/>
      </c>
      <c r="J286" s="15"/>
      <c r="K286" s="17" t="str">
        <f aca="false">IF(B286="","",COUNTIFS(Competencia!$B$7:$B$406,B286,Competencia!$G$7:$G$406,"Sí"))</f>
        <v/>
      </c>
      <c r="L286" s="15"/>
      <c r="M286" s="15"/>
      <c r="N286" s="1"/>
      <c r="O286" s="1"/>
    </row>
    <row r="287" customFormat="false" ht="15" hidden="false" customHeight="false" outlineLevel="0" collapsed="false">
      <c r="A287" s="1"/>
      <c r="B287" s="8" t="str">
        <f aca="false">IF(D287="","","P-"&amp;TEXT(ROW()-6,"000"))</f>
        <v/>
      </c>
      <c r="C287" s="10"/>
      <c r="D287" s="10"/>
      <c r="E287" s="10"/>
      <c r="F287" s="18"/>
      <c r="G287" s="11"/>
      <c r="H287" s="10"/>
      <c r="I287" s="12" t="str">
        <f aca="false">IF(H287="","",IF(H287&lt;10,"Sí","No"))</f>
        <v/>
      </c>
      <c r="J287" s="10"/>
      <c r="K287" s="12" t="str">
        <f aca="false">IF(B287="","",COUNTIFS(Competencia!$B$7:$B$406,B287,Competencia!$G$7:$G$406,"Sí"))</f>
        <v/>
      </c>
      <c r="L287" s="10"/>
      <c r="M287" s="10"/>
      <c r="N287" s="1"/>
      <c r="O287" s="1"/>
    </row>
    <row r="288" customFormat="false" ht="15" hidden="false" customHeight="false" outlineLevel="0" collapsed="false">
      <c r="A288" s="1"/>
      <c r="B288" s="13" t="str">
        <f aca="false">IF(D288="","","P-"&amp;TEXT(ROW()-6,"000"))</f>
        <v/>
      </c>
      <c r="C288" s="15"/>
      <c r="D288" s="15"/>
      <c r="E288" s="15"/>
      <c r="F288" s="19"/>
      <c r="G288" s="16"/>
      <c r="H288" s="15"/>
      <c r="I288" s="17" t="str">
        <f aca="false">IF(H288="","",IF(H288&lt;10,"Sí","No"))</f>
        <v/>
      </c>
      <c r="J288" s="15"/>
      <c r="K288" s="17" t="str">
        <f aca="false">IF(B288="","",COUNTIFS(Competencia!$B$7:$B$406,B288,Competencia!$G$7:$G$406,"Sí"))</f>
        <v/>
      </c>
      <c r="L288" s="15"/>
      <c r="M288" s="15"/>
      <c r="N288" s="1"/>
      <c r="O288" s="1"/>
    </row>
    <row r="289" customFormat="false" ht="15" hidden="false" customHeight="false" outlineLevel="0" collapsed="false">
      <c r="A289" s="1"/>
      <c r="B289" s="8" t="str">
        <f aca="false">IF(D289="","","P-"&amp;TEXT(ROW()-6,"000"))</f>
        <v/>
      </c>
      <c r="C289" s="10"/>
      <c r="D289" s="10"/>
      <c r="E289" s="10"/>
      <c r="F289" s="18"/>
      <c r="G289" s="11"/>
      <c r="H289" s="10"/>
      <c r="I289" s="12" t="str">
        <f aca="false">IF(H289="","",IF(H289&lt;10,"Sí","No"))</f>
        <v/>
      </c>
      <c r="J289" s="10"/>
      <c r="K289" s="12" t="str">
        <f aca="false">IF(B289="","",COUNTIFS(Competencia!$B$7:$B$406,B289,Competencia!$G$7:$G$406,"Sí"))</f>
        <v/>
      </c>
      <c r="L289" s="10"/>
      <c r="M289" s="10"/>
      <c r="N289" s="1"/>
      <c r="O289" s="1"/>
    </row>
    <row r="290" customFormat="false" ht="15" hidden="false" customHeight="false" outlineLevel="0" collapsed="false">
      <c r="A290" s="1"/>
      <c r="B290" s="13" t="str">
        <f aca="false">IF(D290="","","P-"&amp;TEXT(ROW()-6,"000"))</f>
        <v/>
      </c>
      <c r="C290" s="15"/>
      <c r="D290" s="15"/>
      <c r="E290" s="15"/>
      <c r="F290" s="19"/>
      <c r="G290" s="16"/>
      <c r="H290" s="15"/>
      <c r="I290" s="17" t="str">
        <f aca="false">IF(H290="","",IF(H290&lt;10,"Sí","No"))</f>
        <v/>
      </c>
      <c r="J290" s="15"/>
      <c r="K290" s="17" t="str">
        <f aca="false">IF(B290="","",COUNTIFS(Competencia!$B$7:$B$406,B290,Competencia!$G$7:$G$406,"Sí"))</f>
        <v/>
      </c>
      <c r="L290" s="15"/>
      <c r="M290" s="15"/>
      <c r="N290" s="1"/>
      <c r="O290" s="1"/>
    </row>
    <row r="291" customFormat="false" ht="15" hidden="false" customHeight="false" outlineLevel="0" collapsed="false">
      <c r="A291" s="1"/>
      <c r="B291" s="8" t="str">
        <f aca="false">IF(D291="","","P-"&amp;TEXT(ROW()-6,"000"))</f>
        <v/>
      </c>
      <c r="C291" s="10"/>
      <c r="D291" s="10"/>
      <c r="E291" s="10"/>
      <c r="F291" s="18"/>
      <c r="G291" s="11"/>
      <c r="H291" s="10"/>
      <c r="I291" s="12" t="str">
        <f aca="false">IF(H291="","",IF(H291&lt;10,"Sí","No"))</f>
        <v/>
      </c>
      <c r="J291" s="10"/>
      <c r="K291" s="12" t="str">
        <f aca="false">IF(B291="","",COUNTIFS(Competencia!$B$7:$B$406,B291,Competencia!$G$7:$G$406,"Sí"))</f>
        <v/>
      </c>
      <c r="L291" s="10"/>
      <c r="M291" s="10"/>
      <c r="N291" s="1"/>
      <c r="O291" s="1"/>
    </row>
    <row r="292" customFormat="false" ht="15" hidden="false" customHeight="false" outlineLevel="0" collapsed="false">
      <c r="A292" s="1"/>
      <c r="B292" s="13" t="str">
        <f aca="false">IF(D292="","","P-"&amp;TEXT(ROW()-6,"000"))</f>
        <v/>
      </c>
      <c r="C292" s="15"/>
      <c r="D292" s="15"/>
      <c r="E292" s="15"/>
      <c r="F292" s="19"/>
      <c r="G292" s="16"/>
      <c r="H292" s="15"/>
      <c r="I292" s="17" t="str">
        <f aca="false">IF(H292="","",IF(H292&lt;10,"Sí","No"))</f>
        <v/>
      </c>
      <c r="J292" s="15"/>
      <c r="K292" s="17" t="str">
        <f aca="false">IF(B292="","",COUNTIFS(Competencia!$B$7:$B$406,B292,Competencia!$G$7:$G$406,"Sí"))</f>
        <v/>
      </c>
      <c r="L292" s="15"/>
      <c r="M292" s="15"/>
      <c r="N292" s="1"/>
      <c r="O292" s="1"/>
    </row>
    <row r="293" customFormat="false" ht="15" hidden="false" customHeight="false" outlineLevel="0" collapsed="false">
      <c r="A293" s="1"/>
      <c r="B293" s="8" t="str">
        <f aca="false">IF(D293="","","P-"&amp;TEXT(ROW()-6,"000"))</f>
        <v/>
      </c>
      <c r="C293" s="10"/>
      <c r="D293" s="10"/>
      <c r="E293" s="10"/>
      <c r="F293" s="18"/>
      <c r="G293" s="11"/>
      <c r="H293" s="10"/>
      <c r="I293" s="12" t="str">
        <f aca="false">IF(H293="","",IF(H293&lt;10,"Sí","No"))</f>
        <v/>
      </c>
      <c r="J293" s="10"/>
      <c r="K293" s="12" t="str">
        <f aca="false">IF(B293="","",COUNTIFS(Competencia!$B$7:$B$406,B293,Competencia!$G$7:$G$406,"Sí"))</f>
        <v/>
      </c>
      <c r="L293" s="10"/>
      <c r="M293" s="10"/>
      <c r="N293" s="1"/>
      <c r="O293" s="1"/>
    </row>
    <row r="294" customFormat="false" ht="15" hidden="false" customHeight="false" outlineLevel="0" collapsed="false">
      <c r="A294" s="1"/>
      <c r="B294" s="13" t="str">
        <f aca="false">IF(D294="","","P-"&amp;TEXT(ROW()-6,"000"))</f>
        <v/>
      </c>
      <c r="C294" s="15"/>
      <c r="D294" s="15"/>
      <c r="E294" s="15"/>
      <c r="F294" s="19"/>
      <c r="G294" s="16"/>
      <c r="H294" s="15"/>
      <c r="I294" s="17" t="str">
        <f aca="false">IF(H294="","",IF(H294&lt;10,"Sí","No"))</f>
        <v/>
      </c>
      <c r="J294" s="15"/>
      <c r="K294" s="17" t="str">
        <f aca="false">IF(B294="","",COUNTIFS(Competencia!$B$7:$B$406,B294,Competencia!$G$7:$G$406,"Sí"))</f>
        <v/>
      </c>
      <c r="L294" s="15"/>
      <c r="M294" s="15"/>
      <c r="N294" s="1"/>
      <c r="O294" s="1"/>
    </row>
    <row r="295" customFormat="false" ht="15" hidden="false" customHeight="false" outlineLevel="0" collapsed="false">
      <c r="A295" s="1"/>
      <c r="B295" s="8" t="str">
        <f aca="false">IF(D295="","","P-"&amp;TEXT(ROW()-6,"000"))</f>
        <v/>
      </c>
      <c r="C295" s="10"/>
      <c r="D295" s="10"/>
      <c r="E295" s="10"/>
      <c r="F295" s="18"/>
      <c r="G295" s="11"/>
      <c r="H295" s="10"/>
      <c r="I295" s="12" t="str">
        <f aca="false">IF(H295="","",IF(H295&lt;10,"Sí","No"))</f>
        <v/>
      </c>
      <c r="J295" s="10"/>
      <c r="K295" s="12" t="str">
        <f aca="false">IF(B295="","",COUNTIFS(Competencia!$B$7:$B$406,B295,Competencia!$G$7:$G$406,"Sí"))</f>
        <v/>
      </c>
      <c r="L295" s="10"/>
      <c r="M295" s="10"/>
      <c r="N295" s="1"/>
      <c r="O295" s="1"/>
    </row>
    <row r="296" customFormat="false" ht="15" hidden="false" customHeight="false" outlineLevel="0" collapsed="false">
      <c r="A296" s="1"/>
      <c r="B296" s="13" t="str">
        <f aca="false">IF(D296="","","P-"&amp;TEXT(ROW()-6,"000"))</f>
        <v/>
      </c>
      <c r="C296" s="15"/>
      <c r="D296" s="15"/>
      <c r="E296" s="15"/>
      <c r="F296" s="19"/>
      <c r="G296" s="16"/>
      <c r="H296" s="15"/>
      <c r="I296" s="17" t="str">
        <f aca="false">IF(H296="","",IF(H296&lt;10,"Sí","No"))</f>
        <v/>
      </c>
      <c r="J296" s="15"/>
      <c r="K296" s="17" t="str">
        <f aca="false">IF(B296="","",COUNTIFS(Competencia!$B$7:$B$406,B296,Competencia!$G$7:$G$406,"Sí"))</f>
        <v/>
      </c>
      <c r="L296" s="15"/>
      <c r="M296" s="15"/>
      <c r="N296" s="1"/>
      <c r="O296" s="1"/>
    </row>
    <row r="297" customFormat="false" ht="15" hidden="false" customHeight="false" outlineLevel="0" collapsed="false">
      <c r="A297" s="1"/>
      <c r="B297" s="8" t="str">
        <f aca="false">IF(D297="","","P-"&amp;TEXT(ROW()-6,"000"))</f>
        <v/>
      </c>
      <c r="C297" s="10"/>
      <c r="D297" s="10"/>
      <c r="E297" s="10"/>
      <c r="F297" s="18"/>
      <c r="G297" s="11"/>
      <c r="H297" s="10"/>
      <c r="I297" s="12" t="str">
        <f aca="false">IF(H297="","",IF(H297&lt;10,"Sí","No"))</f>
        <v/>
      </c>
      <c r="J297" s="10"/>
      <c r="K297" s="12" t="str">
        <f aca="false">IF(B297="","",COUNTIFS(Competencia!$B$7:$B$406,B297,Competencia!$G$7:$G$406,"Sí"))</f>
        <v/>
      </c>
      <c r="L297" s="10"/>
      <c r="M297" s="10"/>
      <c r="N297" s="1"/>
      <c r="O297" s="1"/>
    </row>
    <row r="298" customFormat="false" ht="15" hidden="false" customHeight="false" outlineLevel="0" collapsed="false">
      <c r="A298" s="1"/>
      <c r="B298" s="13" t="str">
        <f aca="false">IF(D298="","","P-"&amp;TEXT(ROW()-6,"000"))</f>
        <v/>
      </c>
      <c r="C298" s="15"/>
      <c r="D298" s="15"/>
      <c r="E298" s="15"/>
      <c r="F298" s="19"/>
      <c r="G298" s="16"/>
      <c r="H298" s="15"/>
      <c r="I298" s="17" t="str">
        <f aca="false">IF(H298="","",IF(H298&lt;10,"Sí","No"))</f>
        <v/>
      </c>
      <c r="J298" s="15"/>
      <c r="K298" s="17" t="str">
        <f aca="false">IF(B298="","",COUNTIFS(Competencia!$B$7:$B$406,B298,Competencia!$G$7:$G$406,"Sí"))</f>
        <v/>
      </c>
      <c r="L298" s="15"/>
      <c r="M298" s="15"/>
      <c r="N298" s="1"/>
      <c r="O298" s="1"/>
    </row>
    <row r="299" customFormat="false" ht="15" hidden="false" customHeight="false" outlineLevel="0" collapsed="false">
      <c r="A299" s="1"/>
      <c r="B299" s="8" t="str">
        <f aca="false">IF(D299="","","P-"&amp;TEXT(ROW()-6,"000"))</f>
        <v/>
      </c>
      <c r="C299" s="10"/>
      <c r="D299" s="10"/>
      <c r="E299" s="10"/>
      <c r="F299" s="18"/>
      <c r="G299" s="11"/>
      <c r="H299" s="10"/>
      <c r="I299" s="12" t="str">
        <f aca="false">IF(H299="","",IF(H299&lt;10,"Sí","No"))</f>
        <v/>
      </c>
      <c r="J299" s="10"/>
      <c r="K299" s="12" t="str">
        <f aca="false">IF(B299="","",COUNTIFS(Competencia!$B$7:$B$406,B299,Competencia!$G$7:$G$406,"Sí"))</f>
        <v/>
      </c>
      <c r="L299" s="10"/>
      <c r="M299" s="10"/>
      <c r="N299" s="1"/>
      <c r="O299" s="1"/>
    </row>
    <row r="300" customFormat="false" ht="15" hidden="false" customHeight="false" outlineLevel="0" collapsed="false">
      <c r="A300" s="1"/>
      <c r="B300" s="13" t="str">
        <f aca="false">IF(D300="","","P-"&amp;TEXT(ROW()-6,"000"))</f>
        <v/>
      </c>
      <c r="C300" s="15"/>
      <c r="D300" s="15"/>
      <c r="E300" s="15"/>
      <c r="F300" s="19"/>
      <c r="G300" s="16"/>
      <c r="H300" s="15"/>
      <c r="I300" s="17" t="str">
        <f aca="false">IF(H300="","",IF(H300&lt;10,"Sí","No"))</f>
        <v/>
      </c>
      <c r="J300" s="15"/>
      <c r="K300" s="17" t="str">
        <f aca="false">IF(B300="","",COUNTIFS(Competencia!$B$7:$B$406,B300,Competencia!$G$7:$G$406,"Sí"))</f>
        <v/>
      </c>
      <c r="L300" s="15"/>
      <c r="M300" s="15"/>
      <c r="N300" s="1"/>
      <c r="O300" s="1"/>
    </row>
    <row r="301" customFormat="false" ht="15" hidden="false" customHeight="false" outlineLevel="0" collapsed="false">
      <c r="A301" s="1"/>
      <c r="B301" s="8" t="str">
        <f aca="false">IF(D301="","","P-"&amp;TEXT(ROW()-6,"000"))</f>
        <v/>
      </c>
      <c r="C301" s="10"/>
      <c r="D301" s="10"/>
      <c r="E301" s="10"/>
      <c r="F301" s="18"/>
      <c r="G301" s="11"/>
      <c r="H301" s="10"/>
      <c r="I301" s="12" t="str">
        <f aca="false">IF(H301="","",IF(H301&lt;10,"Sí","No"))</f>
        <v/>
      </c>
      <c r="J301" s="10"/>
      <c r="K301" s="12" t="str">
        <f aca="false">IF(B301="","",COUNTIFS(Competencia!$B$7:$B$406,B301,Competencia!$G$7:$G$406,"Sí"))</f>
        <v/>
      </c>
      <c r="L301" s="10"/>
      <c r="M301" s="10"/>
      <c r="N301" s="1"/>
      <c r="O301" s="1"/>
    </row>
    <row r="302" customFormat="false" ht="15" hidden="false" customHeight="false" outlineLevel="0" collapsed="false">
      <c r="A302" s="1"/>
      <c r="B302" s="13" t="str">
        <f aca="false">IF(D302="","","P-"&amp;TEXT(ROW()-6,"000"))</f>
        <v/>
      </c>
      <c r="C302" s="15"/>
      <c r="D302" s="15"/>
      <c r="E302" s="15"/>
      <c r="F302" s="19"/>
      <c r="G302" s="16"/>
      <c r="H302" s="15"/>
      <c r="I302" s="17" t="str">
        <f aca="false">IF(H302="","",IF(H302&lt;10,"Sí","No"))</f>
        <v/>
      </c>
      <c r="J302" s="15"/>
      <c r="K302" s="17" t="str">
        <f aca="false">IF(B302="","",COUNTIFS(Competencia!$B$7:$B$406,B302,Competencia!$G$7:$G$406,"Sí"))</f>
        <v/>
      </c>
      <c r="L302" s="15"/>
      <c r="M302" s="15"/>
      <c r="N302" s="1"/>
      <c r="O302" s="1"/>
    </row>
    <row r="303" customFormat="false" ht="15" hidden="false" customHeight="false" outlineLevel="0" collapsed="false">
      <c r="A303" s="1"/>
      <c r="B303" s="8" t="str">
        <f aca="false">IF(D303="","","P-"&amp;TEXT(ROW()-6,"000"))</f>
        <v/>
      </c>
      <c r="C303" s="10"/>
      <c r="D303" s="10"/>
      <c r="E303" s="10"/>
      <c r="F303" s="18"/>
      <c r="G303" s="11"/>
      <c r="H303" s="10"/>
      <c r="I303" s="12" t="str">
        <f aca="false">IF(H303="","",IF(H303&lt;10,"Sí","No"))</f>
        <v/>
      </c>
      <c r="J303" s="10"/>
      <c r="K303" s="12" t="str">
        <f aca="false">IF(B303="","",COUNTIFS(Competencia!$B$7:$B$406,B303,Competencia!$G$7:$G$406,"Sí"))</f>
        <v/>
      </c>
      <c r="L303" s="10"/>
      <c r="M303" s="10"/>
      <c r="N303" s="1"/>
      <c r="O303" s="1"/>
    </row>
    <row r="304" customFormat="false" ht="15" hidden="false" customHeight="false" outlineLevel="0" collapsed="false">
      <c r="A304" s="1"/>
      <c r="B304" s="13" t="str">
        <f aca="false">IF(D304="","","P-"&amp;TEXT(ROW()-6,"000"))</f>
        <v/>
      </c>
      <c r="C304" s="15"/>
      <c r="D304" s="15"/>
      <c r="E304" s="15"/>
      <c r="F304" s="19"/>
      <c r="G304" s="16"/>
      <c r="H304" s="15"/>
      <c r="I304" s="17" t="str">
        <f aca="false">IF(H304="","",IF(H304&lt;10,"Sí","No"))</f>
        <v/>
      </c>
      <c r="J304" s="15"/>
      <c r="K304" s="17" t="str">
        <f aca="false">IF(B304="","",COUNTIFS(Competencia!$B$7:$B$406,B304,Competencia!$G$7:$G$406,"Sí"))</f>
        <v/>
      </c>
      <c r="L304" s="15"/>
      <c r="M304" s="15"/>
      <c r="N304" s="1"/>
      <c r="O304" s="1"/>
    </row>
    <row r="305" customFormat="false" ht="15" hidden="false" customHeight="false" outlineLevel="0" collapsed="false">
      <c r="A305" s="1"/>
      <c r="B305" s="8" t="str">
        <f aca="false">IF(D305="","","P-"&amp;TEXT(ROW()-6,"000"))</f>
        <v/>
      </c>
      <c r="C305" s="10"/>
      <c r="D305" s="10"/>
      <c r="E305" s="10"/>
      <c r="F305" s="18"/>
      <c r="G305" s="11"/>
      <c r="H305" s="10"/>
      <c r="I305" s="12" t="str">
        <f aca="false">IF(H305="","",IF(H305&lt;10,"Sí","No"))</f>
        <v/>
      </c>
      <c r="J305" s="10"/>
      <c r="K305" s="12" t="str">
        <f aca="false">IF(B305="","",COUNTIFS(Competencia!$B$7:$B$406,B305,Competencia!$G$7:$G$406,"Sí"))</f>
        <v/>
      </c>
      <c r="L305" s="10"/>
      <c r="M305" s="10"/>
      <c r="N305" s="1"/>
      <c r="O305" s="1"/>
    </row>
    <row r="306" customFormat="false" ht="15" hidden="false" customHeight="false" outlineLevel="0" collapsed="false">
      <c r="A306" s="1"/>
      <c r="B306" s="13" t="str">
        <f aca="false">IF(D306="","","P-"&amp;TEXT(ROW()-6,"000"))</f>
        <v/>
      </c>
      <c r="C306" s="15"/>
      <c r="D306" s="15"/>
      <c r="E306" s="15"/>
      <c r="F306" s="19"/>
      <c r="G306" s="16"/>
      <c r="H306" s="15"/>
      <c r="I306" s="17" t="str">
        <f aca="false">IF(H306="","",IF(H306&lt;10,"Sí","No"))</f>
        <v/>
      </c>
      <c r="J306" s="15"/>
      <c r="K306" s="17" t="str">
        <f aca="false">IF(B306="","",COUNTIFS(Competencia!$B$7:$B$406,B306,Competencia!$G$7:$G$406,"Sí"))</f>
        <v/>
      </c>
      <c r="L306" s="15"/>
      <c r="M306" s="15"/>
      <c r="N306" s="1"/>
      <c r="O306" s="1"/>
    </row>
    <row r="307" customFormat="false" ht="15" hidden="false" customHeight="false" outlineLevel="0" collapsed="false">
      <c r="A307" s="1"/>
      <c r="B307" s="8" t="str">
        <f aca="false">IF(D307="","","P-"&amp;TEXT(ROW()-6,"000"))</f>
        <v/>
      </c>
      <c r="C307" s="10"/>
      <c r="D307" s="10"/>
      <c r="E307" s="10"/>
      <c r="F307" s="18"/>
      <c r="G307" s="11"/>
      <c r="H307" s="10"/>
      <c r="I307" s="12" t="str">
        <f aca="false">IF(H307="","",IF(H307&lt;10,"Sí","No"))</f>
        <v/>
      </c>
      <c r="J307" s="10"/>
      <c r="K307" s="12" t="str">
        <f aca="false">IF(B307="","",COUNTIFS(Competencia!$B$7:$B$406,B307,Competencia!$G$7:$G$406,"Sí"))</f>
        <v/>
      </c>
      <c r="L307" s="10"/>
      <c r="M307" s="10"/>
      <c r="N307" s="1"/>
      <c r="O307" s="1"/>
    </row>
    <row r="308" customFormat="false" ht="15" hidden="false" customHeight="false" outlineLevel="0" collapsed="false">
      <c r="A308" s="1"/>
      <c r="B308" s="13" t="str">
        <f aca="false">IF(D308="","","P-"&amp;TEXT(ROW()-6,"000"))</f>
        <v/>
      </c>
      <c r="C308" s="15"/>
      <c r="D308" s="15"/>
      <c r="E308" s="15"/>
      <c r="F308" s="19"/>
      <c r="G308" s="16"/>
      <c r="H308" s="15"/>
      <c r="I308" s="17" t="str">
        <f aca="false">IF(H308="","",IF(H308&lt;10,"Sí","No"))</f>
        <v/>
      </c>
      <c r="J308" s="15"/>
      <c r="K308" s="17" t="str">
        <f aca="false">IF(B308="","",COUNTIFS(Competencia!$B$7:$B$406,B308,Competencia!$G$7:$G$406,"Sí"))</f>
        <v/>
      </c>
      <c r="L308" s="15"/>
      <c r="M308" s="15"/>
      <c r="N308" s="1"/>
      <c r="O308" s="1"/>
    </row>
    <row r="309" customFormat="false" ht="15" hidden="false" customHeight="false" outlineLevel="0" collapsed="false">
      <c r="A309" s="1"/>
      <c r="B309" s="8" t="str">
        <f aca="false">IF(D309="","","P-"&amp;TEXT(ROW()-6,"000"))</f>
        <v/>
      </c>
      <c r="C309" s="10"/>
      <c r="D309" s="10"/>
      <c r="E309" s="10"/>
      <c r="F309" s="18"/>
      <c r="G309" s="11"/>
      <c r="H309" s="10"/>
      <c r="I309" s="12" t="str">
        <f aca="false">IF(H309="","",IF(H309&lt;10,"Sí","No"))</f>
        <v/>
      </c>
      <c r="J309" s="10"/>
      <c r="K309" s="12" t="str">
        <f aca="false">IF(B309="","",COUNTIFS(Competencia!$B$7:$B$406,B309,Competencia!$G$7:$G$406,"Sí"))</f>
        <v/>
      </c>
      <c r="L309" s="10"/>
      <c r="M309" s="10"/>
      <c r="N309" s="1"/>
      <c r="O309" s="1"/>
    </row>
    <row r="310" customFormat="false" ht="15" hidden="false" customHeight="false" outlineLevel="0" collapsed="false">
      <c r="A310" s="1"/>
      <c r="B310" s="13" t="str">
        <f aca="false">IF(D310="","","P-"&amp;TEXT(ROW()-6,"000"))</f>
        <v/>
      </c>
      <c r="C310" s="15"/>
      <c r="D310" s="15"/>
      <c r="E310" s="15"/>
      <c r="F310" s="19"/>
      <c r="G310" s="16"/>
      <c r="H310" s="15"/>
      <c r="I310" s="17" t="str">
        <f aca="false">IF(H310="","",IF(H310&lt;10,"Sí","No"))</f>
        <v/>
      </c>
      <c r="J310" s="15"/>
      <c r="K310" s="17" t="str">
        <f aca="false">IF(B310="","",COUNTIFS(Competencia!$B$7:$B$406,B310,Competencia!$G$7:$G$406,"Sí"))</f>
        <v/>
      </c>
      <c r="L310" s="15"/>
      <c r="M310" s="15"/>
      <c r="N310" s="1"/>
      <c r="O310" s="1"/>
    </row>
    <row r="311" customFormat="false" ht="15" hidden="false" customHeight="false" outlineLevel="0" collapsed="false">
      <c r="A311" s="1"/>
      <c r="B311" s="8" t="str">
        <f aca="false">IF(D311="","","P-"&amp;TEXT(ROW()-6,"000"))</f>
        <v/>
      </c>
      <c r="C311" s="10"/>
      <c r="D311" s="10"/>
      <c r="E311" s="10"/>
      <c r="F311" s="18"/>
      <c r="G311" s="11"/>
      <c r="H311" s="10"/>
      <c r="I311" s="12" t="str">
        <f aca="false">IF(H311="","",IF(H311&lt;10,"Sí","No"))</f>
        <v/>
      </c>
      <c r="J311" s="10"/>
      <c r="K311" s="12" t="str">
        <f aca="false">IF(B311="","",COUNTIFS(Competencia!$B$7:$B$406,B311,Competencia!$G$7:$G$406,"Sí"))</f>
        <v/>
      </c>
      <c r="L311" s="10"/>
      <c r="M311" s="10"/>
      <c r="N311" s="1"/>
      <c r="O311" s="1"/>
    </row>
    <row r="312" customFormat="false" ht="15" hidden="false" customHeight="false" outlineLevel="0" collapsed="false">
      <c r="A312" s="1"/>
      <c r="B312" s="13" t="str">
        <f aca="false">IF(D312="","","P-"&amp;TEXT(ROW()-6,"000"))</f>
        <v/>
      </c>
      <c r="C312" s="15"/>
      <c r="D312" s="15"/>
      <c r="E312" s="15"/>
      <c r="F312" s="19"/>
      <c r="G312" s="16"/>
      <c r="H312" s="15"/>
      <c r="I312" s="17" t="str">
        <f aca="false">IF(H312="","",IF(H312&lt;10,"Sí","No"))</f>
        <v/>
      </c>
      <c r="J312" s="15"/>
      <c r="K312" s="17" t="str">
        <f aca="false">IF(B312="","",COUNTIFS(Competencia!$B$7:$B$406,B312,Competencia!$G$7:$G$406,"Sí"))</f>
        <v/>
      </c>
      <c r="L312" s="15"/>
      <c r="M312" s="15"/>
      <c r="N312" s="1"/>
      <c r="O312" s="1"/>
    </row>
    <row r="313" customFormat="false" ht="15" hidden="false" customHeight="false" outlineLevel="0" collapsed="false">
      <c r="A313" s="1"/>
      <c r="B313" s="8" t="str">
        <f aca="false">IF(D313="","","P-"&amp;TEXT(ROW()-6,"000"))</f>
        <v/>
      </c>
      <c r="C313" s="10"/>
      <c r="D313" s="10"/>
      <c r="E313" s="10"/>
      <c r="F313" s="18"/>
      <c r="G313" s="11"/>
      <c r="H313" s="10"/>
      <c r="I313" s="12" t="str">
        <f aca="false">IF(H313="","",IF(H313&lt;10,"Sí","No"))</f>
        <v/>
      </c>
      <c r="J313" s="10"/>
      <c r="K313" s="12" t="str">
        <f aca="false">IF(B313="","",COUNTIFS(Competencia!$B$7:$B$406,B313,Competencia!$G$7:$G$406,"Sí"))</f>
        <v/>
      </c>
      <c r="L313" s="10"/>
      <c r="M313" s="10"/>
      <c r="N313" s="1"/>
      <c r="O313" s="1"/>
    </row>
    <row r="314" customFormat="false" ht="15" hidden="false" customHeight="false" outlineLevel="0" collapsed="false">
      <c r="A314" s="1"/>
      <c r="B314" s="13" t="str">
        <f aca="false">IF(D314="","","P-"&amp;TEXT(ROW()-6,"000"))</f>
        <v/>
      </c>
      <c r="C314" s="15"/>
      <c r="D314" s="15"/>
      <c r="E314" s="15"/>
      <c r="F314" s="19"/>
      <c r="G314" s="16"/>
      <c r="H314" s="15"/>
      <c r="I314" s="17" t="str">
        <f aca="false">IF(H314="","",IF(H314&lt;10,"Sí","No"))</f>
        <v/>
      </c>
      <c r="J314" s="15"/>
      <c r="K314" s="17" t="str">
        <f aca="false">IF(B314="","",COUNTIFS(Competencia!$B$7:$B$406,B314,Competencia!$G$7:$G$406,"Sí"))</f>
        <v/>
      </c>
      <c r="L314" s="15"/>
      <c r="M314" s="15"/>
      <c r="N314" s="1"/>
      <c r="O314" s="1"/>
    </row>
    <row r="315" customFormat="false" ht="15" hidden="false" customHeight="false" outlineLevel="0" collapsed="false">
      <c r="A315" s="1"/>
      <c r="B315" s="8" t="str">
        <f aca="false">IF(D315="","","P-"&amp;TEXT(ROW()-6,"000"))</f>
        <v/>
      </c>
      <c r="C315" s="10"/>
      <c r="D315" s="10"/>
      <c r="E315" s="10"/>
      <c r="F315" s="18"/>
      <c r="G315" s="11"/>
      <c r="H315" s="10"/>
      <c r="I315" s="12" t="str">
        <f aca="false">IF(H315="","",IF(H315&lt;10,"Sí","No"))</f>
        <v/>
      </c>
      <c r="J315" s="10"/>
      <c r="K315" s="12" t="str">
        <f aca="false">IF(B315="","",COUNTIFS(Competencia!$B$7:$B$406,B315,Competencia!$G$7:$G$406,"Sí"))</f>
        <v/>
      </c>
      <c r="L315" s="10"/>
      <c r="M315" s="10"/>
      <c r="N315" s="1"/>
      <c r="O315" s="1"/>
    </row>
    <row r="316" customFormat="false" ht="15" hidden="false" customHeight="false" outlineLevel="0" collapsed="false">
      <c r="A316" s="1"/>
      <c r="B316" s="13" t="str">
        <f aca="false">IF(D316="","","P-"&amp;TEXT(ROW()-6,"000"))</f>
        <v/>
      </c>
      <c r="C316" s="15"/>
      <c r="D316" s="15"/>
      <c r="E316" s="15"/>
      <c r="F316" s="19"/>
      <c r="G316" s="16"/>
      <c r="H316" s="15"/>
      <c r="I316" s="17" t="str">
        <f aca="false">IF(H316="","",IF(H316&lt;10,"Sí","No"))</f>
        <v/>
      </c>
      <c r="J316" s="15"/>
      <c r="K316" s="17" t="str">
        <f aca="false">IF(B316="","",COUNTIFS(Competencia!$B$7:$B$406,B316,Competencia!$G$7:$G$406,"Sí"))</f>
        <v/>
      </c>
      <c r="L316" s="15"/>
      <c r="M316" s="15"/>
      <c r="N316" s="1"/>
      <c r="O316" s="1"/>
    </row>
    <row r="317" customFormat="false" ht="15" hidden="false" customHeight="false" outlineLevel="0" collapsed="false">
      <c r="A317" s="1"/>
      <c r="B317" s="8" t="str">
        <f aca="false">IF(D317="","","P-"&amp;TEXT(ROW()-6,"000"))</f>
        <v/>
      </c>
      <c r="C317" s="10"/>
      <c r="D317" s="10"/>
      <c r="E317" s="10"/>
      <c r="F317" s="18"/>
      <c r="G317" s="11"/>
      <c r="H317" s="10"/>
      <c r="I317" s="12" t="str">
        <f aca="false">IF(H317="","",IF(H317&lt;10,"Sí","No"))</f>
        <v/>
      </c>
      <c r="J317" s="10"/>
      <c r="K317" s="12" t="str">
        <f aca="false">IF(B317="","",COUNTIFS(Competencia!$B$7:$B$406,B317,Competencia!$G$7:$G$406,"Sí"))</f>
        <v/>
      </c>
      <c r="L317" s="10"/>
      <c r="M317" s="10"/>
      <c r="N317" s="1"/>
      <c r="O317" s="1"/>
    </row>
    <row r="318" customFormat="false" ht="15" hidden="false" customHeight="false" outlineLevel="0" collapsed="false">
      <c r="A318" s="1"/>
      <c r="B318" s="13" t="str">
        <f aca="false">IF(D318="","","P-"&amp;TEXT(ROW()-6,"000"))</f>
        <v/>
      </c>
      <c r="C318" s="15"/>
      <c r="D318" s="15"/>
      <c r="E318" s="15"/>
      <c r="F318" s="19"/>
      <c r="G318" s="16"/>
      <c r="H318" s="15"/>
      <c r="I318" s="17" t="str">
        <f aca="false">IF(H318="","",IF(H318&lt;10,"Sí","No"))</f>
        <v/>
      </c>
      <c r="J318" s="15"/>
      <c r="K318" s="17" t="str">
        <f aca="false">IF(B318="","",COUNTIFS(Competencia!$B$7:$B$406,B318,Competencia!$G$7:$G$406,"Sí"))</f>
        <v/>
      </c>
      <c r="L318" s="15"/>
      <c r="M318" s="15"/>
      <c r="N318" s="1"/>
      <c r="O318" s="1"/>
    </row>
    <row r="319" customFormat="false" ht="15" hidden="false" customHeight="false" outlineLevel="0" collapsed="false">
      <c r="A319" s="1"/>
      <c r="B319" s="8" t="str">
        <f aca="false">IF(D319="","","P-"&amp;TEXT(ROW()-6,"000"))</f>
        <v/>
      </c>
      <c r="C319" s="10"/>
      <c r="D319" s="10"/>
      <c r="E319" s="10"/>
      <c r="F319" s="18"/>
      <c r="G319" s="11"/>
      <c r="H319" s="10"/>
      <c r="I319" s="12" t="str">
        <f aca="false">IF(H319="","",IF(H319&lt;10,"Sí","No"))</f>
        <v/>
      </c>
      <c r="J319" s="10"/>
      <c r="K319" s="12" t="str">
        <f aca="false">IF(B319="","",COUNTIFS(Competencia!$B$7:$B$406,B319,Competencia!$G$7:$G$406,"Sí"))</f>
        <v/>
      </c>
      <c r="L319" s="10"/>
      <c r="M319" s="10"/>
      <c r="N319" s="1"/>
      <c r="O319" s="1"/>
    </row>
    <row r="320" customFormat="false" ht="15" hidden="false" customHeight="false" outlineLevel="0" collapsed="false">
      <c r="A320" s="1"/>
      <c r="B320" s="13" t="str">
        <f aca="false">IF(D320="","","P-"&amp;TEXT(ROW()-6,"000"))</f>
        <v/>
      </c>
      <c r="C320" s="15"/>
      <c r="D320" s="15"/>
      <c r="E320" s="15"/>
      <c r="F320" s="19"/>
      <c r="G320" s="16"/>
      <c r="H320" s="15"/>
      <c r="I320" s="17" t="str">
        <f aca="false">IF(H320="","",IF(H320&lt;10,"Sí","No"))</f>
        <v/>
      </c>
      <c r="J320" s="15"/>
      <c r="K320" s="17" t="str">
        <f aca="false">IF(B320="","",COUNTIFS(Competencia!$B$7:$B$406,B320,Competencia!$G$7:$G$406,"Sí"))</f>
        <v/>
      </c>
      <c r="L320" s="15"/>
      <c r="M320" s="15"/>
      <c r="N320" s="1"/>
      <c r="O320" s="1"/>
    </row>
    <row r="321" customFormat="false" ht="15" hidden="false" customHeight="false" outlineLevel="0" collapsed="false">
      <c r="A321" s="1"/>
      <c r="B321" s="8" t="str">
        <f aca="false">IF(D321="","","P-"&amp;TEXT(ROW()-6,"000"))</f>
        <v/>
      </c>
      <c r="C321" s="10"/>
      <c r="D321" s="10"/>
      <c r="E321" s="10"/>
      <c r="F321" s="18"/>
      <c r="G321" s="11"/>
      <c r="H321" s="10"/>
      <c r="I321" s="12" t="str">
        <f aca="false">IF(H321="","",IF(H321&lt;10,"Sí","No"))</f>
        <v/>
      </c>
      <c r="J321" s="10"/>
      <c r="K321" s="12" t="str">
        <f aca="false">IF(B321="","",COUNTIFS(Competencia!$B$7:$B$406,B321,Competencia!$G$7:$G$406,"Sí"))</f>
        <v/>
      </c>
      <c r="L321" s="10"/>
      <c r="M321" s="10"/>
      <c r="N321" s="1"/>
      <c r="O321" s="1"/>
    </row>
    <row r="322" customFormat="false" ht="15" hidden="false" customHeight="false" outlineLevel="0" collapsed="false">
      <c r="A322" s="1"/>
      <c r="B322" s="13" t="str">
        <f aca="false">IF(D322="","","P-"&amp;TEXT(ROW()-6,"000"))</f>
        <v/>
      </c>
      <c r="C322" s="15"/>
      <c r="D322" s="15"/>
      <c r="E322" s="15"/>
      <c r="F322" s="19"/>
      <c r="G322" s="16"/>
      <c r="H322" s="15"/>
      <c r="I322" s="17" t="str">
        <f aca="false">IF(H322="","",IF(H322&lt;10,"Sí","No"))</f>
        <v/>
      </c>
      <c r="J322" s="15"/>
      <c r="K322" s="17" t="str">
        <f aca="false">IF(B322="","",COUNTIFS(Competencia!$B$7:$B$406,B322,Competencia!$G$7:$G$406,"Sí"))</f>
        <v/>
      </c>
      <c r="L322" s="15"/>
      <c r="M322" s="15"/>
      <c r="N322" s="1"/>
      <c r="O322" s="1"/>
    </row>
    <row r="323" customFormat="false" ht="15" hidden="false" customHeight="false" outlineLevel="0" collapsed="false">
      <c r="A323" s="1"/>
      <c r="B323" s="8" t="str">
        <f aca="false">IF(D323="","","P-"&amp;TEXT(ROW()-6,"000"))</f>
        <v/>
      </c>
      <c r="C323" s="10"/>
      <c r="D323" s="10"/>
      <c r="E323" s="10"/>
      <c r="F323" s="18"/>
      <c r="G323" s="11"/>
      <c r="H323" s="10"/>
      <c r="I323" s="12" t="str">
        <f aca="false">IF(H323="","",IF(H323&lt;10,"Sí","No"))</f>
        <v/>
      </c>
      <c r="J323" s="10"/>
      <c r="K323" s="12" t="str">
        <f aca="false">IF(B323="","",COUNTIFS(Competencia!$B$7:$B$406,B323,Competencia!$G$7:$G$406,"Sí"))</f>
        <v/>
      </c>
      <c r="L323" s="10"/>
      <c r="M323" s="10"/>
      <c r="N323" s="1"/>
      <c r="O323" s="1"/>
    </row>
    <row r="324" customFormat="false" ht="15" hidden="false" customHeight="false" outlineLevel="0" collapsed="false">
      <c r="A324" s="1"/>
      <c r="B324" s="13" t="str">
        <f aca="false">IF(D324="","","P-"&amp;TEXT(ROW()-6,"000"))</f>
        <v/>
      </c>
      <c r="C324" s="15"/>
      <c r="D324" s="15"/>
      <c r="E324" s="15"/>
      <c r="F324" s="19"/>
      <c r="G324" s="16"/>
      <c r="H324" s="15"/>
      <c r="I324" s="17" t="str">
        <f aca="false">IF(H324="","",IF(H324&lt;10,"Sí","No"))</f>
        <v/>
      </c>
      <c r="J324" s="15"/>
      <c r="K324" s="17" t="str">
        <f aca="false">IF(B324="","",COUNTIFS(Competencia!$B$7:$B$406,B324,Competencia!$G$7:$G$406,"Sí"))</f>
        <v/>
      </c>
      <c r="L324" s="15"/>
      <c r="M324" s="15"/>
      <c r="N324" s="1"/>
      <c r="O324" s="1"/>
    </row>
    <row r="325" customFormat="false" ht="15" hidden="false" customHeight="false" outlineLevel="0" collapsed="false">
      <c r="A325" s="1"/>
      <c r="B325" s="8" t="str">
        <f aca="false">IF(D325="","","P-"&amp;TEXT(ROW()-6,"000"))</f>
        <v/>
      </c>
      <c r="C325" s="10"/>
      <c r="D325" s="10"/>
      <c r="E325" s="10"/>
      <c r="F325" s="18"/>
      <c r="G325" s="11"/>
      <c r="H325" s="10"/>
      <c r="I325" s="12" t="str">
        <f aca="false">IF(H325="","",IF(H325&lt;10,"Sí","No"))</f>
        <v/>
      </c>
      <c r="J325" s="10"/>
      <c r="K325" s="12" t="str">
        <f aca="false">IF(B325="","",COUNTIFS(Competencia!$B$7:$B$406,B325,Competencia!$G$7:$G$406,"Sí"))</f>
        <v/>
      </c>
      <c r="L325" s="10"/>
      <c r="M325" s="10"/>
      <c r="N325" s="1"/>
      <c r="O325" s="1"/>
    </row>
    <row r="326" customFormat="false" ht="15" hidden="false" customHeight="false" outlineLevel="0" collapsed="false">
      <c r="A326" s="1"/>
      <c r="B326" s="13" t="str">
        <f aca="false">IF(D326="","","P-"&amp;TEXT(ROW()-6,"000"))</f>
        <v/>
      </c>
      <c r="C326" s="15"/>
      <c r="D326" s="15"/>
      <c r="E326" s="15"/>
      <c r="F326" s="19"/>
      <c r="G326" s="16"/>
      <c r="H326" s="15"/>
      <c r="I326" s="17" t="str">
        <f aca="false">IF(H326="","",IF(H326&lt;10,"Sí","No"))</f>
        <v/>
      </c>
      <c r="J326" s="15"/>
      <c r="K326" s="17" t="str">
        <f aca="false">IF(B326="","",COUNTIFS(Competencia!$B$7:$B$406,B326,Competencia!$G$7:$G$406,"Sí"))</f>
        <v/>
      </c>
      <c r="L326" s="15"/>
      <c r="M326" s="15"/>
      <c r="N326" s="1"/>
      <c r="O326" s="1"/>
    </row>
    <row r="327" customFormat="false" ht="15" hidden="false" customHeight="false" outlineLevel="0" collapsed="false">
      <c r="A327" s="1"/>
      <c r="B327" s="8" t="str">
        <f aca="false">IF(D327="","","P-"&amp;TEXT(ROW()-6,"000"))</f>
        <v/>
      </c>
      <c r="C327" s="10"/>
      <c r="D327" s="10"/>
      <c r="E327" s="10"/>
      <c r="F327" s="18"/>
      <c r="G327" s="11"/>
      <c r="H327" s="10"/>
      <c r="I327" s="12" t="str">
        <f aca="false">IF(H327="","",IF(H327&lt;10,"Sí","No"))</f>
        <v/>
      </c>
      <c r="J327" s="10"/>
      <c r="K327" s="12" t="str">
        <f aca="false">IF(B327="","",COUNTIFS(Competencia!$B$7:$B$406,B327,Competencia!$G$7:$G$406,"Sí"))</f>
        <v/>
      </c>
      <c r="L327" s="10"/>
      <c r="M327" s="10"/>
      <c r="N327" s="1"/>
      <c r="O327" s="1"/>
    </row>
    <row r="328" customFormat="false" ht="15" hidden="false" customHeight="false" outlineLevel="0" collapsed="false">
      <c r="A328" s="1"/>
      <c r="B328" s="13" t="str">
        <f aca="false">IF(D328="","","P-"&amp;TEXT(ROW()-6,"000"))</f>
        <v/>
      </c>
      <c r="C328" s="15"/>
      <c r="D328" s="15"/>
      <c r="E328" s="15"/>
      <c r="F328" s="19"/>
      <c r="G328" s="16"/>
      <c r="H328" s="15"/>
      <c r="I328" s="17" t="str">
        <f aca="false">IF(H328="","",IF(H328&lt;10,"Sí","No"))</f>
        <v/>
      </c>
      <c r="J328" s="15"/>
      <c r="K328" s="17" t="str">
        <f aca="false">IF(B328="","",COUNTIFS(Competencia!$B$7:$B$406,B328,Competencia!$G$7:$G$406,"Sí"))</f>
        <v/>
      </c>
      <c r="L328" s="15"/>
      <c r="M328" s="15"/>
      <c r="N328" s="1"/>
      <c r="O328" s="1"/>
    </row>
    <row r="329" customFormat="false" ht="15" hidden="false" customHeight="false" outlineLevel="0" collapsed="false">
      <c r="A329" s="1"/>
      <c r="B329" s="8" t="str">
        <f aca="false">IF(D329="","","P-"&amp;TEXT(ROW()-6,"000"))</f>
        <v/>
      </c>
      <c r="C329" s="10"/>
      <c r="D329" s="10"/>
      <c r="E329" s="10"/>
      <c r="F329" s="18"/>
      <c r="G329" s="11"/>
      <c r="H329" s="10"/>
      <c r="I329" s="12" t="str">
        <f aca="false">IF(H329="","",IF(H329&lt;10,"Sí","No"))</f>
        <v/>
      </c>
      <c r="J329" s="10"/>
      <c r="K329" s="12" t="str">
        <f aca="false">IF(B329="","",COUNTIFS(Competencia!$B$7:$B$406,B329,Competencia!$G$7:$G$406,"Sí"))</f>
        <v/>
      </c>
      <c r="L329" s="10"/>
      <c r="M329" s="10"/>
      <c r="N329" s="1"/>
      <c r="O329" s="1"/>
    </row>
    <row r="330" customFormat="false" ht="15" hidden="false" customHeight="false" outlineLevel="0" collapsed="false">
      <c r="A330" s="1"/>
      <c r="B330" s="13" t="str">
        <f aca="false">IF(D330="","","P-"&amp;TEXT(ROW()-6,"000"))</f>
        <v/>
      </c>
      <c r="C330" s="15"/>
      <c r="D330" s="15"/>
      <c r="E330" s="15"/>
      <c r="F330" s="19"/>
      <c r="G330" s="16"/>
      <c r="H330" s="15"/>
      <c r="I330" s="17" t="str">
        <f aca="false">IF(H330="","",IF(H330&lt;10,"Sí","No"))</f>
        <v/>
      </c>
      <c r="J330" s="15"/>
      <c r="K330" s="17" t="str">
        <f aca="false">IF(B330="","",COUNTIFS(Competencia!$B$7:$B$406,B330,Competencia!$G$7:$G$406,"Sí"))</f>
        <v/>
      </c>
      <c r="L330" s="15"/>
      <c r="M330" s="15"/>
      <c r="N330" s="1"/>
      <c r="O330" s="1"/>
    </row>
    <row r="331" customFormat="false" ht="15" hidden="false" customHeight="false" outlineLevel="0" collapsed="false">
      <c r="A331" s="1"/>
      <c r="B331" s="8" t="str">
        <f aca="false">IF(D331="","","P-"&amp;TEXT(ROW()-6,"000"))</f>
        <v/>
      </c>
      <c r="C331" s="10"/>
      <c r="D331" s="10"/>
      <c r="E331" s="10"/>
      <c r="F331" s="18"/>
      <c r="G331" s="11"/>
      <c r="H331" s="10"/>
      <c r="I331" s="12" t="str">
        <f aca="false">IF(H331="","",IF(H331&lt;10,"Sí","No"))</f>
        <v/>
      </c>
      <c r="J331" s="10"/>
      <c r="K331" s="12" t="str">
        <f aca="false">IF(B331="","",COUNTIFS(Competencia!$B$7:$B$406,B331,Competencia!$G$7:$G$406,"Sí"))</f>
        <v/>
      </c>
      <c r="L331" s="10"/>
      <c r="M331" s="10"/>
      <c r="N331" s="1"/>
      <c r="O331" s="1"/>
    </row>
    <row r="332" customFormat="false" ht="15" hidden="false" customHeight="false" outlineLevel="0" collapsed="false">
      <c r="A332" s="1"/>
      <c r="B332" s="13" t="str">
        <f aca="false">IF(D332="","","P-"&amp;TEXT(ROW()-6,"000"))</f>
        <v/>
      </c>
      <c r="C332" s="15"/>
      <c r="D332" s="15"/>
      <c r="E332" s="15"/>
      <c r="F332" s="19"/>
      <c r="G332" s="16"/>
      <c r="H332" s="15"/>
      <c r="I332" s="17" t="str">
        <f aca="false">IF(H332="","",IF(H332&lt;10,"Sí","No"))</f>
        <v/>
      </c>
      <c r="J332" s="15"/>
      <c r="K332" s="17" t="str">
        <f aca="false">IF(B332="","",COUNTIFS(Competencia!$B$7:$B$406,B332,Competencia!$G$7:$G$406,"Sí"))</f>
        <v/>
      </c>
      <c r="L332" s="15"/>
      <c r="M332" s="15"/>
      <c r="N332" s="1"/>
      <c r="O332" s="1"/>
    </row>
    <row r="333" customFormat="false" ht="15" hidden="false" customHeight="false" outlineLevel="0" collapsed="false">
      <c r="A333" s="1"/>
      <c r="B333" s="8" t="str">
        <f aca="false">IF(D333="","","P-"&amp;TEXT(ROW()-6,"000"))</f>
        <v/>
      </c>
      <c r="C333" s="10"/>
      <c r="D333" s="10"/>
      <c r="E333" s="10"/>
      <c r="F333" s="18"/>
      <c r="G333" s="11"/>
      <c r="H333" s="10"/>
      <c r="I333" s="12" t="str">
        <f aca="false">IF(H333="","",IF(H333&lt;10,"Sí","No"))</f>
        <v/>
      </c>
      <c r="J333" s="10"/>
      <c r="K333" s="12" t="str">
        <f aca="false">IF(B333="","",COUNTIFS(Competencia!$B$7:$B$406,B333,Competencia!$G$7:$G$406,"Sí"))</f>
        <v/>
      </c>
      <c r="L333" s="10"/>
      <c r="M333" s="10"/>
      <c r="N333" s="1"/>
      <c r="O333" s="1"/>
    </row>
    <row r="334" customFormat="false" ht="15" hidden="false" customHeight="false" outlineLevel="0" collapsed="false">
      <c r="A334" s="1"/>
      <c r="B334" s="13" t="str">
        <f aca="false">IF(D334="","","P-"&amp;TEXT(ROW()-6,"000"))</f>
        <v/>
      </c>
      <c r="C334" s="15"/>
      <c r="D334" s="15"/>
      <c r="E334" s="15"/>
      <c r="F334" s="19"/>
      <c r="G334" s="16"/>
      <c r="H334" s="15"/>
      <c r="I334" s="17" t="str">
        <f aca="false">IF(H334="","",IF(H334&lt;10,"Sí","No"))</f>
        <v/>
      </c>
      <c r="J334" s="15"/>
      <c r="K334" s="17" t="str">
        <f aca="false">IF(B334="","",COUNTIFS(Competencia!$B$7:$B$406,B334,Competencia!$G$7:$G$406,"Sí"))</f>
        <v/>
      </c>
      <c r="L334" s="15"/>
      <c r="M334" s="15"/>
      <c r="N334" s="1"/>
      <c r="O334" s="1"/>
    </row>
    <row r="335" customFormat="false" ht="15" hidden="false" customHeight="false" outlineLevel="0" collapsed="false">
      <c r="A335" s="1"/>
      <c r="B335" s="8" t="str">
        <f aca="false">IF(D335="","","P-"&amp;TEXT(ROW()-6,"000"))</f>
        <v/>
      </c>
      <c r="C335" s="10"/>
      <c r="D335" s="10"/>
      <c r="E335" s="10"/>
      <c r="F335" s="18"/>
      <c r="G335" s="11"/>
      <c r="H335" s="10"/>
      <c r="I335" s="12" t="str">
        <f aca="false">IF(H335="","",IF(H335&lt;10,"Sí","No"))</f>
        <v/>
      </c>
      <c r="J335" s="10"/>
      <c r="K335" s="12" t="str">
        <f aca="false">IF(B335="","",COUNTIFS(Competencia!$B$7:$B$406,B335,Competencia!$G$7:$G$406,"Sí"))</f>
        <v/>
      </c>
      <c r="L335" s="10"/>
      <c r="M335" s="10"/>
      <c r="N335" s="1"/>
      <c r="O335" s="1"/>
    </row>
    <row r="336" customFormat="false" ht="15" hidden="false" customHeight="false" outlineLevel="0" collapsed="false">
      <c r="A336" s="1"/>
      <c r="B336" s="13" t="str">
        <f aca="false">IF(D336="","","P-"&amp;TEXT(ROW()-6,"000"))</f>
        <v/>
      </c>
      <c r="C336" s="15"/>
      <c r="D336" s="15"/>
      <c r="E336" s="15"/>
      <c r="F336" s="19"/>
      <c r="G336" s="16"/>
      <c r="H336" s="15"/>
      <c r="I336" s="17" t="str">
        <f aca="false">IF(H336="","",IF(H336&lt;10,"Sí","No"))</f>
        <v/>
      </c>
      <c r="J336" s="15"/>
      <c r="K336" s="17" t="str">
        <f aca="false">IF(B336="","",COUNTIFS(Competencia!$B$7:$B$406,B336,Competencia!$G$7:$G$406,"Sí"))</f>
        <v/>
      </c>
      <c r="L336" s="15"/>
      <c r="M336" s="15"/>
      <c r="N336" s="1"/>
      <c r="O336" s="1"/>
    </row>
    <row r="337" customFormat="false" ht="15" hidden="false" customHeight="false" outlineLevel="0" collapsed="false">
      <c r="A337" s="1"/>
      <c r="B337" s="8" t="str">
        <f aca="false">IF(D337="","","P-"&amp;TEXT(ROW()-6,"000"))</f>
        <v/>
      </c>
      <c r="C337" s="10"/>
      <c r="D337" s="10"/>
      <c r="E337" s="10"/>
      <c r="F337" s="18"/>
      <c r="G337" s="11"/>
      <c r="H337" s="10"/>
      <c r="I337" s="12" t="str">
        <f aca="false">IF(H337="","",IF(H337&lt;10,"Sí","No"))</f>
        <v/>
      </c>
      <c r="J337" s="10"/>
      <c r="K337" s="12" t="str">
        <f aca="false">IF(B337="","",COUNTIFS(Competencia!$B$7:$B$406,B337,Competencia!$G$7:$G$406,"Sí"))</f>
        <v/>
      </c>
      <c r="L337" s="10"/>
      <c r="M337" s="10"/>
      <c r="N337" s="1"/>
      <c r="O337" s="1"/>
    </row>
    <row r="338" customFormat="false" ht="15" hidden="false" customHeight="false" outlineLevel="0" collapsed="false">
      <c r="A338" s="1"/>
      <c r="B338" s="13" t="str">
        <f aca="false">IF(D338="","","P-"&amp;TEXT(ROW()-6,"000"))</f>
        <v/>
      </c>
      <c r="C338" s="15"/>
      <c r="D338" s="15"/>
      <c r="E338" s="15"/>
      <c r="F338" s="19"/>
      <c r="G338" s="16"/>
      <c r="H338" s="15"/>
      <c r="I338" s="17" t="str">
        <f aca="false">IF(H338="","",IF(H338&lt;10,"Sí","No"))</f>
        <v/>
      </c>
      <c r="J338" s="15"/>
      <c r="K338" s="17" t="str">
        <f aca="false">IF(B338="","",COUNTIFS(Competencia!$B$7:$B$406,B338,Competencia!$G$7:$G$406,"Sí"))</f>
        <v/>
      </c>
      <c r="L338" s="15"/>
      <c r="M338" s="15"/>
      <c r="N338" s="1"/>
      <c r="O338" s="1"/>
    </row>
    <row r="339" customFormat="false" ht="15" hidden="false" customHeight="false" outlineLevel="0" collapsed="false">
      <c r="A339" s="1"/>
      <c r="B339" s="8" t="str">
        <f aca="false">IF(D339="","","P-"&amp;TEXT(ROW()-6,"000"))</f>
        <v/>
      </c>
      <c r="C339" s="10"/>
      <c r="D339" s="10"/>
      <c r="E339" s="10"/>
      <c r="F339" s="18"/>
      <c r="G339" s="11"/>
      <c r="H339" s="10"/>
      <c r="I339" s="12" t="str">
        <f aca="false">IF(H339="","",IF(H339&lt;10,"Sí","No"))</f>
        <v/>
      </c>
      <c r="J339" s="10"/>
      <c r="K339" s="12" t="str">
        <f aca="false">IF(B339="","",COUNTIFS(Competencia!$B$7:$B$406,B339,Competencia!$G$7:$G$406,"Sí"))</f>
        <v/>
      </c>
      <c r="L339" s="10"/>
      <c r="M339" s="10"/>
      <c r="N339" s="1"/>
      <c r="O339" s="1"/>
    </row>
    <row r="340" customFormat="false" ht="15" hidden="false" customHeight="false" outlineLevel="0" collapsed="false">
      <c r="A340" s="1"/>
      <c r="B340" s="13" t="str">
        <f aca="false">IF(D340="","","P-"&amp;TEXT(ROW()-6,"000"))</f>
        <v/>
      </c>
      <c r="C340" s="15"/>
      <c r="D340" s="15"/>
      <c r="E340" s="15"/>
      <c r="F340" s="19"/>
      <c r="G340" s="16"/>
      <c r="H340" s="15"/>
      <c r="I340" s="17" t="str">
        <f aca="false">IF(H340="","",IF(H340&lt;10,"Sí","No"))</f>
        <v/>
      </c>
      <c r="J340" s="15"/>
      <c r="K340" s="17" t="str">
        <f aca="false">IF(B340="","",COUNTIFS(Competencia!$B$7:$B$406,B340,Competencia!$G$7:$G$406,"Sí"))</f>
        <v/>
      </c>
      <c r="L340" s="15"/>
      <c r="M340" s="15"/>
      <c r="N340" s="1"/>
      <c r="O340" s="1"/>
    </row>
    <row r="341" customFormat="false" ht="15" hidden="false" customHeight="false" outlineLevel="0" collapsed="false">
      <c r="A341" s="1"/>
      <c r="B341" s="8" t="str">
        <f aca="false">IF(D341="","","P-"&amp;TEXT(ROW()-6,"000"))</f>
        <v/>
      </c>
      <c r="C341" s="10"/>
      <c r="D341" s="10"/>
      <c r="E341" s="10"/>
      <c r="F341" s="18"/>
      <c r="G341" s="11"/>
      <c r="H341" s="10"/>
      <c r="I341" s="12" t="str">
        <f aca="false">IF(H341="","",IF(H341&lt;10,"Sí","No"))</f>
        <v/>
      </c>
      <c r="J341" s="10"/>
      <c r="K341" s="12" t="str">
        <f aca="false">IF(B341="","",COUNTIFS(Competencia!$B$7:$B$406,B341,Competencia!$G$7:$G$406,"Sí"))</f>
        <v/>
      </c>
      <c r="L341" s="10"/>
      <c r="M341" s="10"/>
      <c r="N341" s="1"/>
      <c r="O341" s="1"/>
    </row>
    <row r="342" customFormat="false" ht="15" hidden="false" customHeight="false" outlineLevel="0" collapsed="false">
      <c r="A342" s="1"/>
      <c r="B342" s="13" t="str">
        <f aca="false">IF(D342="","","P-"&amp;TEXT(ROW()-6,"000"))</f>
        <v/>
      </c>
      <c r="C342" s="15"/>
      <c r="D342" s="15"/>
      <c r="E342" s="15"/>
      <c r="F342" s="19"/>
      <c r="G342" s="16"/>
      <c r="H342" s="15"/>
      <c r="I342" s="17" t="str">
        <f aca="false">IF(H342="","",IF(H342&lt;10,"Sí","No"))</f>
        <v/>
      </c>
      <c r="J342" s="15"/>
      <c r="K342" s="17" t="str">
        <f aca="false">IF(B342="","",COUNTIFS(Competencia!$B$7:$B$406,B342,Competencia!$G$7:$G$406,"Sí"))</f>
        <v/>
      </c>
      <c r="L342" s="15"/>
      <c r="M342" s="15"/>
      <c r="N342" s="1"/>
      <c r="O342" s="1"/>
    </row>
    <row r="343" customFormat="false" ht="15" hidden="false" customHeight="false" outlineLevel="0" collapsed="false">
      <c r="A343" s="1"/>
      <c r="B343" s="8" t="str">
        <f aca="false">IF(D343="","","P-"&amp;TEXT(ROW()-6,"000"))</f>
        <v/>
      </c>
      <c r="C343" s="10"/>
      <c r="D343" s="10"/>
      <c r="E343" s="10"/>
      <c r="F343" s="18"/>
      <c r="G343" s="11"/>
      <c r="H343" s="10"/>
      <c r="I343" s="12" t="str">
        <f aca="false">IF(H343="","",IF(H343&lt;10,"Sí","No"))</f>
        <v/>
      </c>
      <c r="J343" s="10"/>
      <c r="K343" s="12" t="str">
        <f aca="false">IF(B343="","",COUNTIFS(Competencia!$B$7:$B$406,B343,Competencia!$G$7:$G$406,"Sí"))</f>
        <v/>
      </c>
      <c r="L343" s="10"/>
      <c r="M343" s="10"/>
      <c r="N343" s="1"/>
      <c r="O343" s="1"/>
    </row>
    <row r="344" customFormat="false" ht="15" hidden="false" customHeight="false" outlineLevel="0" collapsed="false">
      <c r="A344" s="1"/>
      <c r="B344" s="13" t="str">
        <f aca="false">IF(D344="","","P-"&amp;TEXT(ROW()-6,"000"))</f>
        <v/>
      </c>
      <c r="C344" s="15"/>
      <c r="D344" s="15"/>
      <c r="E344" s="15"/>
      <c r="F344" s="19"/>
      <c r="G344" s="16"/>
      <c r="H344" s="15"/>
      <c r="I344" s="17" t="str">
        <f aca="false">IF(H344="","",IF(H344&lt;10,"Sí","No"))</f>
        <v/>
      </c>
      <c r="J344" s="15"/>
      <c r="K344" s="17" t="str">
        <f aca="false">IF(B344="","",COUNTIFS(Competencia!$B$7:$B$406,B344,Competencia!$G$7:$G$406,"Sí"))</f>
        <v/>
      </c>
      <c r="L344" s="15"/>
      <c r="M344" s="15"/>
      <c r="N344" s="1"/>
      <c r="O344" s="1"/>
    </row>
    <row r="345" customFormat="false" ht="15" hidden="false" customHeight="false" outlineLevel="0" collapsed="false">
      <c r="A345" s="1"/>
      <c r="B345" s="8" t="str">
        <f aca="false">IF(D345="","","P-"&amp;TEXT(ROW()-6,"000"))</f>
        <v/>
      </c>
      <c r="C345" s="10"/>
      <c r="D345" s="10"/>
      <c r="E345" s="10"/>
      <c r="F345" s="18"/>
      <c r="G345" s="11"/>
      <c r="H345" s="10"/>
      <c r="I345" s="12" t="str">
        <f aca="false">IF(H345="","",IF(H345&lt;10,"Sí","No"))</f>
        <v/>
      </c>
      <c r="J345" s="10"/>
      <c r="K345" s="12" t="str">
        <f aca="false">IF(B345="","",COUNTIFS(Competencia!$B$7:$B$406,B345,Competencia!$G$7:$G$406,"Sí"))</f>
        <v/>
      </c>
      <c r="L345" s="10"/>
      <c r="M345" s="10"/>
      <c r="N345" s="1"/>
      <c r="O345" s="1"/>
    </row>
    <row r="346" customFormat="false" ht="15" hidden="false" customHeight="false" outlineLevel="0" collapsed="false">
      <c r="A346" s="1"/>
      <c r="B346" s="13" t="str">
        <f aca="false">IF(D346="","","P-"&amp;TEXT(ROW()-6,"000"))</f>
        <v/>
      </c>
      <c r="C346" s="15"/>
      <c r="D346" s="15"/>
      <c r="E346" s="15"/>
      <c r="F346" s="19"/>
      <c r="G346" s="16"/>
      <c r="H346" s="15"/>
      <c r="I346" s="17" t="str">
        <f aca="false">IF(H346="","",IF(H346&lt;10,"Sí","No"))</f>
        <v/>
      </c>
      <c r="J346" s="15"/>
      <c r="K346" s="17" t="str">
        <f aca="false">IF(B346="","",COUNTIFS(Competencia!$B$7:$B$406,B346,Competencia!$G$7:$G$406,"Sí"))</f>
        <v/>
      </c>
      <c r="L346" s="15"/>
      <c r="M346" s="15"/>
      <c r="N346" s="1"/>
      <c r="O346" s="1"/>
    </row>
    <row r="347" customFormat="false" ht="15" hidden="false" customHeight="false" outlineLevel="0" collapsed="false">
      <c r="A347" s="1"/>
      <c r="B347" s="8" t="str">
        <f aca="false">IF(D347="","","P-"&amp;TEXT(ROW()-6,"000"))</f>
        <v/>
      </c>
      <c r="C347" s="10"/>
      <c r="D347" s="10"/>
      <c r="E347" s="10"/>
      <c r="F347" s="18"/>
      <c r="G347" s="11"/>
      <c r="H347" s="10"/>
      <c r="I347" s="12" t="str">
        <f aca="false">IF(H347="","",IF(H347&lt;10,"Sí","No"))</f>
        <v/>
      </c>
      <c r="J347" s="10"/>
      <c r="K347" s="12" t="str">
        <f aca="false">IF(B347="","",COUNTIFS(Competencia!$B$7:$B$406,B347,Competencia!$G$7:$G$406,"Sí"))</f>
        <v/>
      </c>
      <c r="L347" s="10"/>
      <c r="M347" s="10"/>
      <c r="N347" s="1"/>
      <c r="O347" s="1"/>
    </row>
    <row r="348" customFormat="false" ht="15" hidden="false" customHeight="false" outlineLevel="0" collapsed="false">
      <c r="A348" s="1"/>
      <c r="B348" s="13" t="str">
        <f aca="false">IF(D348="","","P-"&amp;TEXT(ROW()-6,"000"))</f>
        <v/>
      </c>
      <c r="C348" s="15"/>
      <c r="D348" s="15"/>
      <c r="E348" s="15"/>
      <c r="F348" s="19"/>
      <c r="G348" s="16"/>
      <c r="H348" s="15"/>
      <c r="I348" s="17" t="str">
        <f aca="false">IF(H348="","",IF(H348&lt;10,"Sí","No"))</f>
        <v/>
      </c>
      <c r="J348" s="15"/>
      <c r="K348" s="17" t="str">
        <f aca="false">IF(B348="","",COUNTIFS(Competencia!$B$7:$B$406,B348,Competencia!$G$7:$G$406,"Sí"))</f>
        <v/>
      </c>
      <c r="L348" s="15"/>
      <c r="M348" s="15"/>
      <c r="N348" s="1"/>
      <c r="O348" s="1"/>
    </row>
    <row r="349" customFormat="false" ht="15" hidden="false" customHeight="false" outlineLevel="0" collapsed="false">
      <c r="A349" s="1"/>
      <c r="B349" s="8" t="str">
        <f aca="false">IF(D349="","","P-"&amp;TEXT(ROW()-6,"000"))</f>
        <v/>
      </c>
      <c r="C349" s="10"/>
      <c r="D349" s="10"/>
      <c r="E349" s="10"/>
      <c r="F349" s="18"/>
      <c r="G349" s="11"/>
      <c r="H349" s="10"/>
      <c r="I349" s="12" t="str">
        <f aca="false">IF(H349="","",IF(H349&lt;10,"Sí","No"))</f>
        <v/>
      </c>
      <c r="J349" s="10"/>
      <c r="K349" s="12" t="str">
        <f aca="false">IF(B349="","",COUNTIFS(Competencia!$B$7:$B$406,B349,Competencia!$G$7:$G$406,"Sí"))</f>
        <v/>
      </c>
      <c r="L349" s="10"/>
      <c r="M349" s="10"/>
      <c r="N349" s="1"/>
      <c r="O349" s="1"/>
    </row>
    <row r="350" customFormat="false" ht="15" hidden="false" customHeight="false" outlineLevel="0" collapsed="false">
      <c r="A350" s="1"/>
      <c r="B350" s="13" t="str">
        <f aca="false">IF(D350="","","P-"&amp;TEXT(ROW()-6,"000"))</f>
        <v/>
      </c>
      <c r="C350" s="15"/>
      <c r="D350" s="15"/>
      <c r="E350" s="15"/>
      <c r="F350" s="19"/>
      <c r="G350" s="16"/>
      <c r="H350" s="15"/>
      <c r="I350" s="17" t="str">
        <f aca="false">IF(H350="","",IF(H350&lt;10,"Sí","No"))</f>
        <v/>
      </c>
      <c r="J350" s="15"/>
      <c r="K350" s="17" t="str">
        <f aca="false">IF(B350="","",COUNTIFS(Competencia!$B$7:$B$406,B350,Competencia!$G$7:$G$406,"Sí"))</f>
        <v/>
      </c>
      <c r="L350" s="15"/>
      <c r="M350" s="15"/>
      <c r="N350" s="1"/>
      <c r="O350" s="1"/>
    </row>
    <row r="351" customFormat="false" ht="15" hidden="false" customHeight="false" outlineLevel="0" collapsed="false">
      <c r="A351" s="1"/>
      <c r="B351" s="8" t="str">
        <f aca="false">IF(D351="","","P-"&amp;TEXT(ROW()-6,"000"))</f>
        <v/>
      </c>
      <c r="C351" s="10"/>
      <c r="D351" s="10"/>
      <c r="E351" s="10"/>
      <c r="F351" s="18"/>
      <c r="G351" s="11"/>
      <c r="H351" s="10"/>
      <c r="I351" s="12" t="str">
        <f aca="false">IF(H351="","",IF(H351&lt;10,"Sí","No"))</f>
        <v/>
      </c>
      <c r="J351" s="10"/>
      <c r="K351" s="12" t="str">
        <f aca="false">IF(B351="","",COUNTIFS(Competencia!$B$7:$B$406,B351,Competencia!$G$7:$G$406,"Sí"))</f>
        <v/>
      </c>
      <c r="L351" s="10"/>
      <c r="M351" s="10"/>
      <c r="N351" s="1"/>
      <c r="O351" s="1"/>
    </row>
    <row r="352" customFormat="false" ht="15" hidden="false" customHeight="false" outlineLevel="0" collapsed="false">
      <c r="A352" s="1"/>
      <c r="B352" s="13" t="str">
        <f aca="false">IF(D352="","","P-"&amp;TEXT(ROW()-6,"000"))</f>
        <v/>
      </c>
      <c r="C352" s="15"/>
      <c r="D352" s="15"/>
      <c r="E352" s="15"/>
      <c r="F352" s="19"/>
      <c r="G352" s="16"/>
      <c r="H352" s="15"/>
      <c r="I352" s="17" t="str">
        <f aca="false">IF(H352="","",IF(H352&lt;10,"Sí","No"))</f>
        <v/>
      </c>
      <c r="J352" s="15"/>
      <c r="K352" s="17" t="str">
        <f aca="false">IF(B352="","",COUNTIFS(Competencia!$B$7:$B$406,B352,Competencia!$G$7:$G$406,"Sí"))</f>
        <v/>
      </c>
      <c r="L352" s="15"/>
      <c r="M352" s="15"/>
      <c r="N352" s="1"/>
      <c r="O352" s="1"/>
    </row>
    <row r="353" customFormat="false" ht="15" hidden="false" customHeight="false" outlineLevel="0" collapsed="false">
      <c r="A353" s="1"/>
      <c r="B353" s="8" t="str">
        <f aca="false">IF(D353="","","P-"&amp;TEXT(ROW()-6,"000"))</f>
        <v/>
      </c>
      <c r="C353" s="10"/>
      <c r="D353" s="10"/>
      <c r="E353" s="10"/>
      <c r="F353" s="18"/>
      <c r="G353" s="11"/>
      <c r="H353" s="10"/>
      <c r="I353" s="12" t="str">
        <f aca="false">IF(H353="","",IF(H353&lt;10,"Sí","No"))</f>
        <v/>
      </c>
      <c r="J353" s="10"/>
      <c r="K353" s="12" t="str">
        <f aca="false">IF(B353="","",COUNTIFS(Competencia!$B$7:$B$406,B353,Competencia!$G$7:$G$406,"Sí"))</f>
        <v/>
      </c>
      <c r="L353" s="10"/>
      <c r="M353" s="10"/>
      <c r="N353" s="1"/>
      <c r="O353" s="1"/>
    </row>
    <row r="354" customFormat="false" ht="15" hidden="false" customHeight="false" outlineLevel="0" collapsed="false">
      <c r="A354" s="1"/>
      <c r="B354" s="13" t="str">
        <f aca="false">IF(D354="","","P-"&amp;TEXT(ROW()-6,"000"))</f>
        <v/>
      </c>
      <c r="C354" s="15"/>
      <c r="D354" s="15"/>
      <c r="E354" s="15"/>
      <c r="F354" s="19"/>
      <c r="G354" s="16"/>
      <c r="H354" s="15"/>
      <c r="I354" s="17" t="str">
        <f aca="false">IF(H354="","",IF(H354&lt;10,"Sí","No"))</f>
        <v/>
      </c>
      <c r="J354" s="15"/>
      <c r="K354" s="17" t="str">
        <f aca="false">IF(B354="","",COUNTIFS(Competencia!$B$7:$B$406,B354,Competencia!$G$7:$G$406,"Sí"))</f>
        <v/>
      </c>
      <c r="L354" s="15"/>
      <c r="M354" s="15"/>
      <c r="N354" s="1"/>
      <c r="O354" s="1"/>
    </row>
    <row r="355" customFormat="false" ht="15" hidden="false" customHeight="false" outlineLevel="0" collapsed="false">
      <c r="A355" s="1"/>
      <c r="B355" s="8" t="str">
        <f aca="false">IF(D355="","","P-"&amp;TEXT(ROW()-6,"000"))</f>
        <v/>
      </c>
      <c r="C355" s="10"/>
      <c r="D355" s="10"/>
      <c r="E355" s="10"/>
      <c r="F355" s="18"/>
      <c r="G355" s="11"/>
      <c r="H355" s="10"/>
      <c r="I355" s="12" t="str">
        <f aca="false">IF(H355="","",IF(H355&lt;10,"Sí","No"))</f>
        <v/>
      </c>
      <c r="J355" s="10"/>
      <c r="K355" s="12" t="str">
        <f aca="false">IF(B355="","",COUNTIFS(Competencia!$B$7:$B$406,B355,Competencia!$G$7:$G$406,"Sí"))</f>
        <v/>
      </c>
      <c r="L355" s="10"/>
      <c r="M355" s="10"/>
      <c r="N355" s="1"/>
      <c r="O355" s="1"/>
    </row>
    <row r="356" customFormat="false" ht="15" hidden="false" customHeight="false" outlineLevel="0" collapsed="false">
      <c r="A356" s="1"/>
      <c r="B356" s="13" t="str">
        <f aca="false">IF(D356="","","P-"&amp;TEXT(ROW()-6,"000"))</f>
        <v/>
      </c>
      <c r="C356" s="15"/>
      <c r="D356" s="15"/>
      <c r="E356" s="15"/>
      <c r="F356" s="19"/>
      <c r="G356" s="16"/>
      <c r="H356" s="15"/>
      <c r="I356" s="17" t="str">
        <f aca="false">IF(H356="","",IF(H356&lt;10,"Sí","No"))</f>
        <v/>
      </c>
      <c r="J356" s="15"/>
      <c r="K356" s="17" t="str">
        <f aca="false">IF(B356="","",COUNTIFS(Competencia!$B$7:$B$406,B356,Competencia!$G$7:$G$406,"Sí"))</f>
        <v/>
      </c>
      <c r="L356" s="15"/>
      <c r="M356" s="15"/>
      <c r="N356" s="1"/>
      <c r="O356" s="1"/>
    </row>
    <row r="357" customFormat="false" ht="15" hidden="false" customHeight="false" outlineLevel="0" collapsed="false">
      <c r="A357" s="1"/>
      <c r="B357" s="8" t="str">
        <f aca="false">IF(D357="","","P-"&amp;TEXT(ROW()-6,"000"))</f>
        <v/>
      </c>
      <c r="C357" s="10"/>
      <c r="D357" s="10"/>
      <c r="E357" s="10"/>
      <c r="F357" s="18"/>
      <c r="G357" s="11"/>
      <c r="H357" s="10"/>
      <c r="I357" s="12" t="str">
        <f aca="false">IF(H357="","",IF(H357&lt;10,"Sí","No"))</f>
        <v/>
      </c>
      <c r="J357" s="10"/>
      <c r="K357" s="12" t="str">
        <f aca="false">IF(B357="","",COUNTIFS(Competencia!$B$7:$B$406,B357,Competencia!$G$7:$G$406,"Sí"))</f>
        <v/>
      </c>
      <c r="L357" s="10"/>
      <c r="M357" s="10"/>
      <c r="N357" s="1"/>
      <c r="O357" s="1"/>
    </row>
    <row r="358" customFormat="false" ht="15" hidden="false" customHeight="false" outlineLevel="0" collapsed="false">
      <c r="A358" s="1"/>
      <c r="B358" s="13" t="str">
        <f aca="false">IF(D358="","","P-"&amp;TEXT(ROW()-6,"000"))</f>
        <v/>
      </c>
      <c r="C358" s="15"/>
      <c r="D358" s="15"/>
      <c r="E358" s="15"/>
      <c r="F358" s="19"/>
      <c r="G358" s="16"/>
      <c r="H358" s="15"/>
      <c r="I358" s="17" t="str">
        <f aca="false">IF(H358="","",IF(H358&lt;10,"Sí","No"))</f>
        <v/>
      </c>
      <c r="J358" s="15"/>
      <c r="K358" s="17" t="str">
        <f aca="false">IF(B358="","",COUNTIFS(Competencia!$B$7:$B$406,B358,Competencia!$G$7:$G$406,"Sí"))</f>
        <v/>
      </c>
      <c r="L358" s="15"/>
      <c r="M358" s="15"/>
      <c r="N358" s="1"/>
      <c r="O358" s="1"/>
    </row>
    <row r="359" customFormat="false" ht="15" hidden="false" customHeight="false" outlineLevel="0" collapsed="false">
      <c r="A359" s="1"/>
      <c r="B359" s="8" t="str">
        <f aca="false">IF(D359="","","P-"&amp;TEXT(ROW()-6,"000"))</f>
        <v/>
      </c>
      <c r="C359" s="10"/>
      <c r="D359" s="10"/>
      <c r="E359" s="10"/>
      <c r="F359" s="18"/>
      <c r="G359" s="11"/>
      <c r="H359" s="10"/>
      <c r="I359" s="12" t="str">
        <f aca="false">IF(H359="","",IF(H359&lt;10,"Sí","No"))</f>
        <v/>
      </c>
      <c r="J359" s="10"/>
      <c r="K359" s="12" t="str">
        <f aca="false">IF(B359="","",COUNTIFS(Competencia!$B$7:$B$406,B359,Competencia!$G$7:$G$406,"Sí"))</f>
        <v/>
      </c>
      <c r="L359" s="10"/>
      <c r="M359" s="10"/>
      <c r="N359" s="1"/>
      <c r="O359" s="1"/>
    </row>
    <row r="360" customFormat="false" ht="15" hidden="false" customHeight="false" outlineLevel="0" collapsed="false">
      <c r="A360" s="1"/>
      <c r="B360" s="13" t="str">
        <f aca="false">IF(D360="","","P-"&amp;TEXT(ROW()-6,"000"))</f>
        <v/>
      </c>
      <c r="C360" s="15"/>
      <c r="D360" s="15"/>
      <c r="E360" s="15"/>
      <c r="F360" s="19"/>
      <c r="G360" s="16"/>
      <c r="H360" s="15"/>
      <c r="I360" s="17" t="str">
        <f aca="false">IF(H360="","",IF(H360&lt;10,"Sí","No"))</f>
        <v/>
      </c>
      <c r="J360" s="15"/>
      <c r="K360" s="17" t="str">
        <f aca="false">IF(B360="","",COUNTIFS(Competencia!$B$7:$B$406,B360,Competencia!$G$7:$G$406,"Sí"))</f>
        <v/>
      </c>
      <c r="L360" s="15"/>
      <c r="M360" s="15"/>
      <c r="N360" s="1"/>
      <c r="O360" s="1"/>
    </row>
    <row r="361" customFormat="false" ht="15" hidden="false" customHeight="false" outlineLevel="0" collapsed="false">
      <c r="A361" s="1"/>
      <c r="B361" s="8" t="str">
        <f aca="false">IF(D361="","","P-"&amp;TEXT(ROW()-6,"000"))</f>
        <v/>
      </c>
      <c r="C361" s="10"/>
      <c r="D361" s="10"/>
      <c r="E361" s="10"/>
      <c r="F361" s="18"/>
      <c r="G361" s="11"/>
      <c r="H361" s="10"/>
      <c r="I361" s="12" t="str">
        <f aca="false">IF(H361="","",IF(H361&lt;10,"Sí","No"))</f>
        <v/>
      </c>
      <c r="J361" s="10"/>
      <c r="K361" s="12" t="str">
        <f aca="false">IF(B361="","",COUNTIFS(Competencia!$B$7:$B$406,B361,Competencia!$G$7:$G$406,"Sí"))</f>
        <v/>
      </c>
      <c r="L361" s="10"/>
      <c r="M361" s="10"/>
      <c r="N361" s="1"/>
      <c r="O361" s="1"/>
    </row>
    <row r="362" customFormat="false" ht="15" hidden="false" customHeight="false" outlineLevel="0" collapsed="false">
      <c r="A362" s="1"/>
      <c r="B362" s="13" t="str">
        <f aca="false">IF(D362="","","P-"&amp;TEXT(ROW()-6,"000"))</f>
        <v/>
      </c>
      <c r="C362" s="15"/>
      <c r="D362" s="15"/>
      <c r="E362" s="15"/>
      <c r="F362" s="19"/>
      <c r="G362" s="16"/>
      <c r="H362" s="15"/>
      <c r="I362" s="17" t="str">
        <f aca="false">IF(H362="","",IF(H362&lt;10,"Sí","No"))</f>
        <v/>
      </c>
      <c r="J362" s="15"/>
      <c r="K362" s="17" t="str">
        <f aca="false">IF(B362="","",COUNTIFS(Competencia!$B$7:$B$406,B362,Competencia!$G$7:$G$406,"Sí"))</f>
        <v/>
      </c>
      <c r="L362" s="15"/>
      <c r="M362" s="15"/>
      <c r="N362" s="1"/>
      <c r="O362" s="1"/>
    </row>
    <row r="363" customFormat="false" ht="15" hidden="false" customHeight="false" outlineLevel="0" collapsed="false">
      <c r="A363" s="1"/>
      <c r="B363" s="8" t="str">
        <f aca="false">IF(D363="","","P-"&amp;TEXT(ROW()-6,"000"))</f>
        <v/>
      </c>
      <c r="C363" s="10"/>
      <c r="D363" s="10"/>
      <c r="E363" s="10"/>
      <c r="F363" s="18"/>
      <c r="G363" s="11"/>
      <c r="H363" s="10"/>
      <c r="I363" s="12" t="str">
        <f aca="false">IF(H363="","",IF(H363&lt;10,"Sí","No"))</f>
        <v/>
      </c>
      <c r="J363" s="10"/>
      <c r="K363" s="12" t="str">
        <f aca="false">IF(B363="","",COUNTIFS(Competencia!$B$7:$B$406,B363,Competencia!$G$7:$G$406,"Sí"))</f>
        <v/>
      </c>
      <c r="L363" s="10"/>
      <c r="M363" s="10"/>
      <c r="N363" s="1"/>
      <c r="O363" s="1"/>
    </row>
    <row r="364" customFormat="false" ht="15" hidden="false" customHeight="false" outlineLevel="0" collapsed="false">
      <c r="A364" s="1"/>
      <c r="B364" s="13" t="str">
        <f aca="false">IF(D364="","","P-"&amp;TEXT(ROW()-6,"000"))</f>
        <v/>
      </c>
      <c r="C364" s="15"/>
      <c r="D364" s="15"/>
      <c r="E364" s="15"/>
      <c r="F364" s="19"/>
      <c r="G364" s="16"/>
      <c r="H364" s="15"/>
      <c r="I364" s="17" t="str">
        <f aca="false">IF(H364="","",IF(H364&lt;10,"Sí","No"))</f>
        <v/>
      </c>
      <c r="J364" s="15"/>
      <c r="K364" s="17" t="str">
        <f aca="false">IF(B364="","",COUNTIFS(Competencia!$B$7:$B$406,B364,Competencia!$G$7:$G$406,"Sí"))</f>
        <v/>
      </c>
      <c r="L364" s="15"/>
      <c r="M364" s="15"/>
      <c r="N364" s="1"/>
      <c r="O364" s="1"/>
    </row>
    <row r="365" customFormat="false" ht="15" hidden="false" customHeight="false" outlineLevel="0" collapsed="false">
      <c r="A365" s="1"/>
      <c r="B365" s="8" t="str">
        <f aca="false">IF(D365="","","P-"&amp;TEXT(ROW()-6,"000"))</f>
        <v/>
      </c>
      <c r="C365" s="10"/>
      <c r="D365" s="10"/>
      <c r="E365" s="10"/>
      <c r="F365" s="18"/>
      <c r="G365" s="11"/>
      <c r="H365" s="10"/>
      <c r="I365" s="12" t="str">
        <f aca="false">IF(H365="","",IF(H365&lt;10,"Sí","No"))</f>
        <v/>
      </c>
      <c r="J365" s="10"/>
      <c r="K365" s="12" t="str">
        <f aca="false">IF(B365="","",COUNTIFS(Competencia!$B$7:$B$406,B365,Competencia!$G$7:$G$406,"Sí"))</f>
        <v/>
      </c>
      <c r="L365" s="10"/>
      <c r="M365" s="10"/>
      <c r="N365" s="1"/>
      <c r="O365" s="1"/>
    </row>
    <row r="366" customFormat="false" ht="15" hidden="false" customHeight="false" outlineLevel="0" collapsed="false">
      <c r="A366" s="1"/>
      <c r="B366" s="13" t="str">
        <f aca="false">IF(D366="","","P-"&amp;TEXT(ROW()-6,"000"))</f>
        <v/>
      </c>
      <c r="C366" s="15"/>
      <c r="D366" s="15"/>
      <c r="E366" s="15"/>
      <c r="F366" s="19"/>
      <c r="G366" s="16"/>
      <c r="H366" s="15"/>
      <c r="I366" s="17" t="str">
        <f aca="false">IF(H366="","",IF(H366&lt;10,"Sí","No"))</f>
        <v/>
      </c>
      <c r="J366" s="15"/>
      <c r="K366" s="17" t="str">
        <f aca="false">IF(B366="","",COUNTIFS(Competencia!$B$7:$B$406,B366,Competencia!$G$7:$G$406,"Sí"))</f>
        <v/>
      </c>
      <c r="L366" s="15"/>
      <c r="M366" s="15"/>
      <c r="N366" s="1"/>
      <c r="O366" s="1"/>
    </row>
    <row r="367" customFormat="false" ht="15" hidden="false" customHeight="false" outlineLevel="0" collapsed="false">
      <c r="A367" s="1"/>
      <c r="B367" s="8" t="str">
        <f aca="false">IF(D367="","","P-"&amp;TEXT(ROW()-6,"000"))</f>
        <v/>
      </c>
      <c r="C367" s="10"/>
      <c r="D367" s="10"/>
      <c r="E367" s="10"/>
      <c r="F367" s="18"/>
      <c r="G367" s="11"/>
      <c r="H367" s="10"/>
      <c r="I367" s="12" t="str">
        <f aca="false">IF(H367="","",IF(H367&lt;10,"Sí","No"))</f>
        <v/>
      </c>
      <c r="J367" s="10"/>
      <c r="K367" s="12" t="str">
        <f aca="false">IF(B367="","",COUNTIFS(Competencia!$B$7:$B$406,B367,Competencia!$G$7:$G$406,"Sí"))</f>
        <v/>
      </c>
      <c r="L367" s="10"/>
      <c r="M367" s="10"/>
      <c r="N367" s="1"/>
      <c r="O367" s="1"/>
    </row>
    <row r="368" customFormat="false" ht="15" hidden="false" customHeight="false" outlineLevel="0" collapsed="false">
      <c r="A368" s="1"/>
      <c r="B368" s="13" t="str">
        <f aca="false">IF(D368="","","P-"&amp;TEXT(ROW()-6,"000"))</f>
        <v/>
      </c>
      <c r="C368" s="15"/>
      <c r="D368" s="15"/>
      <c r="E368" s="15"/>
      <c r="F368" s="19"/>
      <c r="G368" s="16"/>
      <c r="H368" s="15"/>
      <c r="I368" s="17" t="str">
        <f aca="false">IF(H368="","",IF(H368&lt;10,"Sí","No"))</f>
        <v/>
      </c>
      <c r="J368" s="15"/>
      <c r="K368" s="17" t="str">
        <f aca="false">IF(B368="","",COUNTIFS(Competencia!$B$7:$B$406,B368,Competencia!$G$7:$G$406,"Sí"))</f>
        <v/>
      </c>
      <c r="L368" s="15"/>
      <c r="M368" s="15"/>
      <c r="N368" s="1"/>
      <c r="O368" s="1"/>
    </row>
    <row r="369" customFormat="false" ht="15" hidden="false" customHeight="false" outlineLevel="0" collapsed="false">
      <c r="A369" s="1"/>
      <c r="B369" s="8" t="str">
        <f aca="false">IF(D369="","","P-"&amp;TEXT(ROW()-6,"000"))</f>
        <v/>
      </c>
      <c r="C369" s="10"/>
      <c r="D369" s="10"/>
      <c r="E369" s="10"/>
      <c r="F369" s="18"/>
      <c r="G369" s="11"/>
      <c r="H369" s="10"/>
      <c r="I369" s="12" t="str">
        <f aca="false">IF(H369="","",IF(H369&lt;10,"Sí","No"))</f>
        <v/>
      </c>
      <c r="J369" s="10"/>
      <c r="K369" s="12" t="str">
        <f aca="false">IF(B369="","",COUNTIFS(Competencia!$B$7:$B$406,B369,Competencia!$G$7:$G$406,"Sí"))</f>
        <v/>
      </c>
      <c r="L369" s="10"/>
      <c r="M369" s="10"/>
      <c r="N369" s="1"/>
      <c r="O369" s="1"/>
    </row>
    <row r="370" customFormat="false" ht="15" hidden="false" customHeight="false" outlineLevel="0" collapsed="false">
      <c r="A370" s="1"/>
      <c r="B370" s="13" t="str">
        <f aca="false">IF(D370="","","P-"&amp;TEXT(ROW()-6,"000"))</f>
        <v/>
      </c>
      <c r="C370" s="15"/>
      <c r="D370" s="15"/>
      <c r="E370" s="15"/>
      <c r="F370" s="19"/>
      <c r="G370" s="16"/>
      <c r="H370" s="15"/>
      <c r="I370" s="17" t="str">
        <f aca="false">IF(H370="","",IF(H370&lt;10,"Sí","No"))</f>
        <v/>
      </c>
      <c r="J370" s="15"/>
      <c r="K370" s="17" t="str">
        <f aca="false">IF(B370="","",COUNTIFS(Competencia!$B$7:$B$406,B370,Competencia!$G$7:$G$406,"Sí"))</f>
        <v/>
      </c>
      <c r="L370" s="15"/>
      <c r="M370" s="15"/>
      <c r="N370" s="1"/>
      <c r="O370" s="1"/>
    </row>
    <row r="371" customFormat="false" ht="15" hidden="false" customHeight="false" outlineLevel="0" collapsed="false">
      <c r="A371" s="1"/>
      <c r="B371" s="8" t="str">
        <f aca="false">IF(D371="","","P-"&amp;TEXT(ROW()-6,"000"))</f>
        <v/>
      </c>
      <c r="C371" s="10"/>
      <c r="D371" s="10"/>
      <c r="E371" s="10"/>
      <c r="F371" s="18"/>
      <c r="G371" s="11"/>
      <c r="H371" s="10"/>
      <c r="I371" s="12" t="str">
        <f aca="false">IF(H371="","",IF(H371&lt;10,"Sí","No"))</f>
        <v/>
      </c>
      <c r="J371" s="10"/>
      <c r="K371" s="12" t="str">
        <f aca="false">IF(B371="","",COUNTIFS(Competencia!$B$7:$B$406,B371,Competencia!$G$7:$G$406,"Sí"))</f>
        <v/>
      </c>
      <c r="L371" s="10"/>
      <c r="M371" s="10"/>
      <c r="N371" s="1"/>
      <c r="O371" s="1"/>
    </row>
    <row r="372" customFormat="false" ht="15" hidden="false" customHeight="false" outlineLevel="0" collapsed="false">
      <c r="A372" s="1"/>
      <c r="B372" s="13" t="str">
        <f aca="false">IF(D372="","","P-"&amp;TEXT(ROW()-6,"000"))</f>
        <v/>
      </c>
      <c r="C372" s="15"/>
      <c r="D372" s="15"/>
      <c r="E372" s="15"/>
      <c r="F372" s="19"/>
      <c r="G372" s="16"/>
      <c r="H372" s="15"/>
      <c r="I372" s="17" t="str">
        <f aca="false">IF(H372="","",IF(H372&lt;10,"Sí","No"))</f>
        <v/>
      </c>
      <c r="J372" s="15"/>
      <c r="K372" s="17" t="str">
        <f aca="false">IF(B372="","",COUNTIFS(Competencia!$B$7:$B$406,B372,Competencia!$G$7:$G$406,"Sí"))</f>
        <v/>
      </c>
      <c r="L372" s="15"/>
      <c r="M372" s="15"/>
      <c r="N372" s="1"/>
      <c r="O372" s="1"/>
    </row>
    <row r="373" customFormat="false" ht="15" hidden="false" customHeight="false" outlineLevel="0" collapsed="false">
      <c r="A373" s="1"/>
      <c r="B373" s="8" t="str">
        <f aca="false">IF(D373="","","P-"&amp;TEXT(ROW()-6,"000"))</f>
        <v/>
      </c>
      <c r="C373" s="10"/>
      <c r="D373" s="10"/>
      <c r="E373" s="10"/>
      <c r="F373" s="18"/>
      <c r="G373" s="11"/>
      <c r="H373" s="10"/>
      <c r="I373" s="12" t="str">
        <f aca="false">IF(H373="","",IF(H373&lt;10,"Sí","No"))</f>
        <v/>
      </c>
      <c r="J373" s="10"/>
      <c r="K373" s="12" t="str">
        <f aca="false">IF(B373="","",COUNTIFS(Competencia!$B$7:$B$406,B373,Competencia!$G$7:$G$406,"Sí"))</f>
        <v/>
      </c>
      <c r="L373" s="10"/>
      <c r="M373" s="10"/>
      <c r="N373" s="1"/>
      <c r="O373" s="1"/>
    </row>
    <row r="374" customFormat="false" ht="15" hidden="false" customHeight="false" outlineLevel="0" collapsed="false">
      <c r="A374" s="1"/>
      <c r="B374" s="13" t="str">
        <f aca="false">IF(D374="","","P-"&amp;TEXT(ROW()-6,"000"))</f>
        <v/>
      </c>
      <c r="C374" s="15"/>
      <c r="D374" s="15"/>
      <c r="E374" s="15"/>
      <c r="F374" s="19"/>
      <c r="G374" s="16"/>
      <c r="H374" s="15"/>
      <c r="I374" s="17" t="str">
        <f aca="false">IF(H374="","",IF(H374&lt;10,"Sí","No"))</f>
        <v/>
      </c>
      <c r="J374" s="15"/>
      <c r="K374" s="17" t="str">
        <f aca="false">IF(B374="","",COUNTIFS(Competencia!$B$7:$B$406,B374,Competencia!$G$7:$G$406,"Sí"))</f>
        <v/>
      </c>
      <c r="L374" s="15"/>
      <c r="M374" s="15"/>
      <c r="N374" s="1"/>
      <c r="O374" s="1"/>
    </row>
    <row r="375" customFormat="false" ht="15" hidden="false" customHeight="false" outlineLevel="0" collapsed="false">
      <c r="A375" s="1"/>
      <c r="B375" s="8" t="str">
        <f aca="false">IF(D375="","","P-"&amp;TEXT(ROW()-6,"000"))</f>
        <v/>
      </c>
      <c r="C375" s="10"/>
      <c r="D375" s="10"/>
      <c r="E375" s="10"/>
      <c r="F375" s="18"/>
      <c r="G375" s="11"/>
      <c r="H375" s="10"/>
      <c r="I375" s="12" t="str">
        <f aca="false">IF(H375="","",IF(H375&lt;10,"Sí","No"))</f>
        <v/>
      </c>
      <c r="J375" s="10"/>
      <c r="K375" s="12" t="str">
        <f aca="false">IF(B375="","",COUNTIFS(Competencia!$B$7:$B$406,B375,Competencia!$G$7:$G$406,"Sí"))</f>
        <v/>
      </c>
      <c r="L375" s="10"/>
      <c r="M375" s="10"/>
      <c r="N375" s="1"/>
      <c r="O375" s="1"/>
    </row>
    <row r="376" customFormat="false" ht="15" hidden="false" customHeight="false" outlineLevel="0" collapsed="false">
      <c r="A376" s="1"/>
      <c r="B376" s="13" t="str">
        <f aca="false">IF(D376="","","P-"&amp;TEXT(ROW()-6,"000"))</f>
        <v/>
      </c>
      <c r="C376" s="15"/>
      <c r="D376" s="15"/>
      <c r="E376" s="15"/>
      <c r="F376" s="19"/>
      <c r="G376" s="16"/>
      <c r="H376" s="15"/>
      <c r="I376" s="17" t="str">
        <f aca="false">IF(H376="","",IF(H376&lt;10,"Sí","No"))</f>
        <v/>
      </c>
      <c r="J376" s="15"/>
      <c r="K376" s="17" t="str">
        <f aca="false">IF(B376="","",COUNTIFS(Competencia!$B$7:$B$406,B376,Competencia!$G$7:$G$406,"Sí"))</f>
        <v/>
      </c>
      <c r="L376" s="15"/>
      <c r="M376" s="15"/>
      <c r="N376" s="1"/>
      <c r="O376" s="1"/>
    </row>
    <row r="377" customFormat="false" ht="15" hidden="false" customHeight="false" outlineLevel="0" collapsed="false">
      <c r="A377" s="1"/>
      <c r="B377" s="8" t="str">
        <f aca="false">IF(D377="","","P-"&amp;TEXT(ROW()-6,"000"))</f>
        <v/>
      </c>
      <c r="C377" s="10"/>
      <c r="D377" s="10"/>
      <c r="E377" s="10"/>
      <c r="F377" s="18"/>
      <c r="G377" s="11"/>
      <c r="H377" s="10"/>
      <c r="I377" s="12" t="str">
        <f aca="false">IF(H377="","",IF(H377&lt;10,"Sí","No"))</f>
        <v/>
      </c>
      <c r="J377" s="10"/>
      <c r="K377" s="12" t="str">
        <f aca="false">IF(B377="","",COUNTIFS(Competencia!$B$7:$B$406,B377,Competencia!$G$7:$G$406,"Sí"))</f>
        <v/>
      </c>
      <c r="L377" s="10"/>
      <c r="M377" s="10"/>
      <c r="N377" s="1"/>
      <c r="O377" s="1"/>
    </row>
    <row r="378" customFormat="false" ht="15" hidden="false" customHeight="false" outlineLevel="0" collapsed="false">
      <c r="A378" s="1"/>
      <c r="B378" s="13" t="str">
        <f aca="false">IF(D378="","","P-"&amp;TEXT(ROW()-6,"000"))</f>
        <v/>
      </c>
      <c r="C378" s="15"/>
      <c r="D378" s="15"/>
      <c r="E378" s="15"/>
      <c r="F378" s="19"/>
      <c r="G378" s="16"/>
      <c r="H378" s="15"/>
      <c r="I378" s="17" t="str">
        <f aca="false">IF(H378="","",IF(H378&lt;10,"Sí","No"))</f>
        <v/>
      </c>
      <c r="J378" s="15"/>
      <c r="K378" s="17" t="str">
        <f aca="false">IF(B378="","",COUNTIFS(Competencia!$B$7:$B$406,B378,Competencia!$G$7:$G$406,"Sí"))</f>
        <v/>
      </c>
      <c r="L378" s="15"/>
      <c r="M378" s="15"/>
      <c r="N378" s="1"/>
      <c r="O378" s="1"/>
    </row>
    <row r="379" customFormat="false" ht="15" hidden="false" customHeight="false" outlineLevel="0" collapsed="false">
      <c r="A379" s="1"/>
      <c r="B379" s="8" t="str">
        <f aca="false">IF(D379="","","P-"&amp;TEXT(ROW()-6,"000"))</f>
        <v/>
      </c>
      <c r="C379" s="10"/>
      <c r="D379" s="10"/>
      <c r="E379" s="10"/>
      <c r="F379" s="18"/>
      <c r="G379" s="11"/>
      <c r="H379" s="10"/>
      <c r="I379" s="12" t="str">
        <f aca="false">IF(H379="","",IF(H379&lt;10,"Sí","No"))</f>
        <v/>
      </c>
      <c r="J379" s="10"/>
      <c r="K379" s="12" t="str">
        <f aca="false">IF(B379="","",COUNTIFS(Competencia!$B$7:$B$406,B379,Competencia!$G$7:$G$406,"Sí"))</f>
        <v/>
      </c>
      <c r="L379" s="10"/>
      <c r="M379" s="10"/>
      <c r="N379" s="1"/>
      <c r="O379" s="1"/>
    </row>
    <row r="380" customFormat="false" ht="15" hidden="false" customHeight="false" outlineLevel="0" collapsed="false">
      <c r="A380" s="1"/>
      <c r="B380" s="13" t="str">
        <f aca="false">IF(D380="","","P-"&amp;TEXT(ROW()-6,"000"))</f>
        <v/>
      </c>
      <c r="C380" s="15"/>
      <c r="D380" s="15"/>
      <c r="E380" s="15"/>
      <c r="F380" s="19"/>
      <c r="G380" s="16"/>
      <c r="H380" s="15"/>
      <c r="I380" s="17" t="str">
        <f aca="false">IF(H380="","",IF(H380&lt;10,"Sí","No"))</f>
        <v/>
      </c>
      <c r="J380" s="15"/>
      <c r="K380" s="17" t="str">
        <f aca="false">IF(B380="","",COUNTIFS(Competencia!$B$7:$B$406,B380,Competencia!$G$7:$G$406,"Sí"))</f>
        <v/>
      </c>
      <c r="L380" s="15"/>
      <c r="M380" s="15"/>
      <c r="N380" s="1"/>
      <c r="O380" s="1"/>
    </row>
    <row r="381" customFormat="false" ht="15" hidden="false" customHeight="false" outlineLevel="0" collapsed="false">
      <c r="A381" s="1"/>
      <c r="B381" s="8" t="str">
        <f aca="false">IF(D381="","","P-"&amp;TEXT(ROW()-6,"000"))</f>
        <v/>
      </c>
      <c r="C381" s="10"/>
      <c r="D381" s="10"/>
      <c r="E381" s="10"/>
      <c r="F381" s="18"/>
      <c r="G381" s="11"/>
      <c r="H381" s="10"/>
      <c r="I381" s="12" t="str">
        <f aca="false">IF(H381="","",IF(H381&lt;10,"Sí","No"))</f>
        <v/>
      </c>
      <c r="J381" s="10"/>
      <c r="K381" s="12" t="str">
        <f aca="false">IF(B381="","",COUNTIFS(Competencia!$B$7:$B$406,B381,Competencia!$G$7:$G$406,"Sí"))</f>
        <v/>
      </c>
      <c r="L381" s="10"/>
      <c r="M381" s="10"/>
      <c r="N381" s="1"/>
      <c r="O381" s="1"/>
    </row>
    <row r="382" customFormat="false" ht="15" hidden="false" customHeight="false" outlineLevel="0" collapsed="false">
      <c r="A382" s="1"/>
      <c r="B382" s="13" t="str">
        <f aca="false">IF(D382="","","P-"&amp;TEXT(ROW()-6,"000"))</f>
        <v/>
      </c>
      <c r="C382" s="15"/>
      <c r="D382" s="15"/>
      <c r="E382" s="15"/>
      <c r="F382" s="19"/>
      <c r="G382" s="16"/>
      <c r="H382" s="15"/>
      <c r="I382" s="17" t="str">
        <f aca="false">IF(H382="","",IF(H382&lt;10,"Sí","No"))</f>
        <v/>
      </c>
      <c r="J382" s="15"/>
      <c r="K382" s="17" t="str">
        <f aca="false">IF(B382="","",COUNTIFS(Competencia!$B$7:$B$406,B382,Competencia!$G$7:$G$406,"Sí"))</f>
        <v/>
      </c>
      <c r="L382" s="15"/>
      <c r="M382" s="15"/>
      <c r="N382" s="1"/>
      <c r="O382" s="1"/>
    </row>
    <row r="383" customFormat="false" ht="15" hidden="false" customHeight="false" outlineLevel="0" collapsed="false">
      <c r="A383" s="1"/>
      <c r="B383" s="8" t="str">
        <f aca="false">IF(D383="","","P-"&amp;TEXT(ROW()-6,"000"))</f>
        <v/>
      </c>
      <c r="C383" s="10"/>
      <c r="D383" s="10"/>
      <c r="E383" s="10"/>
      <c r="F383" s="18"/>
      <c r="G383" s="11"/>
      <c r="H383" s="10"/>
      <c r="I383" s="12" t="str">
        <f aca="false">IF(H383="","",IF(H383&lt;10,"Sí","No"))</f>
        <v/>
      </c>
      <c r="J383" s="10"/>
      <c r="K383" s="12" t="str">
        <f aca="false">IF(B383="","",COUNTIFS(Competencia!$B$7:$B$406,B383,Competencia!$G$7:$G$406,"Sí"))</f>
        <v/>
      </c>
      <c r="L383" s="10"/>
      <c r="M383" s="10"/>
      <c r="N383" s="1"/>
      <c r="O383" s="1"/>
    </row>
    <row r="384" customFormat="false" ht="15" hidden="false" customHeight="false" outlineLevel="0" collapsed="false">
      <c r="A384" s="1"/>
      <c r="B384" s="13" t="str">
        <f aca="false">IF(D384="","","P-"&amp;TEXT(ROW()-6,"000"))</f>
        <v/>
      </c>
      <c r="C384" s="15"/>
      <c r="D384" s="15"/>
      <c r="E384" s="15"/>
      <c r="F384" s="19"/>
      <c r="G384" s="16"/>
      <c r="H384" s="15"/>
      <c r="I384" s="17" t="str">
        <f aca="false">IF(H384="","",IF(H384&lt;10,"Sí","No"))</f>
        <v/>
      </c>
      <c r="J384" s="15"/>
      <c r="K384" s="17" t="str">
        <f aca="false">IF(B384="","",COUNTIFS(Competencia!$B$7:$B$406,B384,Competencia!$G$7:$G$406,"Sí"))</f>
        <v/>
      </c>
      <c r="L384" s="15"/>
      <c r="M384" s="15"/>
      <c r="N384" s="1"/>
      <c r="O384" s="1"/>
    </row>
    <row r="385" customFormat="false" ht="15" hidden="false" customHeight="false" outlineLevel="0" collapsed="false">
      <c r="A385" s="1"/>
      <c r="B385" s="8" t="str">
        <f aca="false">IF(D385="","","P-"&amp;TEXT(ROW()-6,"000"))</f>
        <v/>
      </c>
      <c r="C385" s="10"/>
      <c r="D385" s="10"/>
      <c r="E385" s="10"/>
      <c r="F385" s="18"/>
      <c r="G385" s="11"/>
      <c r="H385" s="10"/>
      <c r="I385" s="12" t="str">
        <f aca="false">IF(H385="","",IF(H385&lt;10,"Sí","No"))</f>
        <v/>
      </c>
      <c r="J385" s="10"/>
      <c r="K385" s="12" t="str">
        <f aca="false">IF(B385="","",COUNTIFS(Competencia!$B$7:$B$406,B385,Competencia!$G$7:$G$406,"Sí"))</f>
        <v/>
      </c>
      <c r="L385" s="10"/>
      <c r="M385" s="10"/>
      <c r="N385" s="1"/>
      <c r="O385" s="1"/>
    </row>
    <row r="386" customFormat="false" ht="15" hidden="false" customHeight="false" outlineLevel="0" collapsed="false">
      <c r="A386" s="1"/>
      <c r="B386" s="13" t="str">
        <f aca="false">IF(D386="","","P-"&amp;TEXT(ROW()-6,"000"))</f>
        <v/>
      </c>
      <c r="C386" s="15"/>
      <c r="D386" s="15"/>
      <c r="E386" s="15"/>
      <c r="F386" s="19"/>
      <c r="G386" s="16"/>
      <c r="H386" s="15"/>
      <c r="I386" s="17" t="str">
        <f aca="false">IF(H386="","",IF(H386&lt;10,"Sí","No"))</f>
        <v/>
      </c>
      <c r="J386" s="15"/>
      <c r="K386" s="17" t="str">
        <f aca="false">IF(B386="","",COUNTIFS(Competencia!$B$7:$B$406,B386,Competencia!$G$7:$G$406,"Sí"))</f>
        <v/>
      </c>
      <c r="L386" s="15"/>
      <c r="M386" s="15"/>
      <c r="N386" s="1"/>
      <c r="O386" s="1"/>
    </row>
    <row r="387" customFormat="false" ht="15" hidden="false" customHeight="false" outlineLevel="0" collapsed="false">
      <c r="A387" s="1"/>
      <c r="B387" s="8" t="str">
        <f aca="false">IF(D387="","","P-"&amp;TEXT(ROW()-6,"000"))</f>
        <v/>
      </c>
      <c r="C387" s="10"/>
      <c r="D387" s="10"/>
      <c r="E387" s="10"/>
      <c r="F387" s="18"/>
      <c r="G387" s="11"/>
      <c r="H387" s="10"/>
      <c r="I387" s="12" t="str">
        <f aca="false">IF(H387="","",IF(H387&lt;10,"Sí","No"))</f>
        <v/>
      </c>
      <c r="J387" s="10"/>
      <c r="K387" s="12" t="str">
        <f aca="false">IF(B387="","",COUNTIFS(Competencia!$B$7:$B$406,B387,Competencia!$G$7:$G$406,"Sí"))</f>
        <v/>
      </c>
      <c r="L387" s="10"/>
      <c r="M387" s="10"/>
      <c r="N387" s="1"/>
      <c r="O387" s="1"/>
    </row>
    <row r="388" customFormat="false" ht="15" hidden="false" customHeight="false" outlineLevel="0" collapsed="false">
      <c r="A388" s="1"/>
      <c r="B388" s="13" t="str">
        <f aca="false">IF(D388="","","P-"&amp;TEXT(ROW()-6,"000"))</f>
        <v/>
      </c>
      <c r="C388" s="15"/>
      <c r="D388" s="15"/>
      <c r="E388" s="15"/>
      <c r="F388" s="19"/>
      <c r="G388" s="16"/>
      <c r="H388" s="15"/>
      <c r="I388" s="17" t="str">
        <f aca="false">IF(H388="","",IF(H388&lt;10,"Sí","No"))</f>
        <v/>
      </c>
      <c r="J388" s="15"/>
      <c r="K388" s="17" t="str">
        <f aca="false">IF(B388="","",COUNTIFS(Competencia!$B$7:$B$406,B388,Competencia!$G$7:$G$406,"Sí"))</f>
        <v/>
      </c>
      <c r="L388" s="15"/>
      <c r="M388" s="15"/>
      <c r="N388" s="1"/>
      <c r="O388" s="1"/>
    </row>
    <row r="389" customFormat="false" ht="15" hidden="false" customHeight="false" outlineLevel="0" collapsed="false">
      <c r="A389" s="1"/>
      <c r="B389" s="8" t="str">
        <f aca="false">IF(D389="","","P-"&amp;TEXT(ROW()-6,"000"))</f>
        <v/>
      </c>
      <c r="C389" s="10"/>
      <c r="D389" s="10"/>
      <c r="E389" s="10"/>
      <c r="F389" s="18"/>
      <c r="G389" s="11"/>
      <c r="H389" s="10"/>
      <c r="I389" s="12" t="str">
        <f aca="false">IF(H389="","",IF(H389&lt;10,"Sí","No"))</f>
        <v/>
      </c>
      <c r="J389" s="10"/>
      <c r="K389" s="12" t="str">
        <f aca="false">IF(B389="","",COUNTIFS(Competencia!$B$7:$B$406,B389,Competencia!$G$7:$G$406,"Sí"))</f>
        <v/>
      </c>
      <c r="L389" s="10"/>
      <c r="M389" s="10"/>
      <c r="N389" s="1"/>
      <c r="O389" s="1"/>
    </row>
    <row r="390" customFormat="false" ht="15" hidden="false" customHeight="false" outlineLevel="0" collapsed="false">
      <c r="A390" s="1"/>
      <c r="B390" s="13" t="str">
        <f aca="false">IF(D390="","","P-"&amp;TEXT(ROW()-6,"000"))</f>
        <v/>
      </c>
      <c r="C390" s="15"/>
      <c r="D390" s="15"/>
      <c r="E390" s="15"/>
      <c r="F390" s="19"/>
      <c r="G390" s="16"/>
      <c r="H390" s="15"/>
      <c r="I390" s="17" t="str">
        <f aca="false">IF(H390="","",IF(H390&lt;10,"Sí","No"))</f>
        <v/>
      </c>
      <c r="J390" s="15"/>
      <c r="K390" s="17" t="str">
        <f aca="false">IF(B390="","",COUNTIFS(Competencia!$B$7:$B$406,B390,Competencia!$G$7:$G$406,"Sí"))</f>
        <v/>
      </c>
      <c r="L390" s="15"/>
      <c r="M390" s="15"/>
      <c r="N390" s="1"/>
      <c r="O390" s="1"/>
    </row>
    <row r="391" customFormat="false" ht="15" hidden="false" customHeight="false" outlineLevel="0" collapsed="false">
      <c r="A391" s="1"/>
      <c r="B391" s="8" t="str">
        <f aca="false">IF(D391="","","P-"&amp;TEXT(ROW()-6,"000"))</f>
        <v/>
      </c>
      <c r="C391" s="10"/>
      <c r="D391" s="10"/>
      <c r="E391" s="10"/>
      <c r="F391" s="18"/>
      <c r="G391" s="11"/>
      <c r="H391" s="10"/>
      <c r="I391" s="12" t="str">
        <f aca="false">IF(H391="","",IF(H391&lt;10,"Sí","No"))</f>
        <v/>
      </c>
      <c r="J391" s="10"/>
      <c r="K391" s="12" t="str">
        <f aca="false">IF(B391="","",COUNTIFS(Competencia!$B$7:$B$406,B391,Competencia!$G$7:$G$406,"Sí"))</f>
        <v/>
      </c>
      <c r="L391" s="10"/>
      <c r="M391" s="10"/>
      <c r="N391" s="1"/>
      <c r="O391" s="1"/>
    </row>
    <row r="392" customFormat="false" ht="15" hidden="false" customHeight="false" outlineLevel="0" collapsed="false">
      <c r="A392" s="1"/>
      <c r="B392" s="13" t="str">
        <f aca="false">IF(D392="","","P-"&amp;TEXT(ROW()-6,"000"))</f>
        <v/>
      </c>
      <c r="C392" s="15"/>
      <c r="D392" s="15"/>
      <c r="E392" s="15"/>
      <c r="F392" s="19"/>
      <c r="G392" s="16"/>
      <c r="H392" s="15"/>
      <c r="I392" s="17" t="str">
        <f aca="false">IF(H392="","",IF(H392&lt;10,"Sí","No"))</f>
        <v/>
      </c>
      <c r="J392" s="15"/>
      <c r="K392" s="17" t="str">
        <f aca="false">IF(B392="","",COUNTIFS(Competencia!$B$7:$B$406,B392,Competencia!$G$7:$G$406,"Sí"))</f>
        <v/>
      </c>
      <c r="L392" s="15"/>
      <c r="M392" s="15"/>
      <c r="N392" s="1"/>
      <c r="O392" s="1"/>
    </row>
    <row r="393" customFormat="false" ht="15" hidden="false" customHeight="false" outlineLevel="0" collapsed="false">
      <c r="A393" s="1"/>
      <c r="B393" s="8" t="str">
        <f aca="false">IF(D393="","","P-"&amp;TEXT(ROW()-6,"000"))</f>
        <v/>
      </c>
      <c r="C393" s="10"/>
      <c r="D393" s="10"/>
      <c r="E393" s="10"/>
      <c r="F393" s="18"/>
      <c r="G393" s="11"/>
      <c r="H393" s="10"/>
      <c r="I393" s="12" t="str">
        <f aca="false">IF(H393="","",IF(H393&lt;10,"Sí","No"))</f>
        <v/>
      </c>
      <c r="J393" s="10"/>
      <c r="K393" s="12" t="str">
        <f aca="false">IF(B393="","",COUNTIFS(Competencia!$B$7:$B$406,B393,Competencia!$G$7:$G$406,"Sí"))</f>
        <v/>
      </c>
      <c r="L393" s="10"/>
      <c r="M393" s="10"/>
      <c r="N393" s="1"/>
      <c r="O393" s="1"/>
    </row>
    <row r="394" customFormat="false" ht="15" hidden="false" customHeight="false" outlineLevel="0" collapsed="false">
      <c r="A394" s="1"/>
      <c r="B394" s="13" t="str">
        <f aca="false">IF(D394="","","P-"&amp;TEXT(ROW()-6,"000"))</f>
        <v/>
      </c>
      <c r="C394" s="15"/>
      <c r="D394" s="15"/>
      <c r="E394" s="15"/>
      <c r="F394" s="19"/>
      <c r="G394" s="16"/>
      <c r="H394" s="15"/>
      <c r="I394" s="17" t="str">
        <f aca="false">IF(H394="","",IF(H394&lt;10,"Sí","No"))</f>
        <v/>
      </c>
      <c r="J394" s="15"/>
      <c r="K394" s="17" t="str">
        <f aca="false">IF(B394="","",COUNTIFS(Competencia!$B$7:$B$406,B394,Competencia!$G$7:$G$406,"Sí"))</f>
        <v/>
      </c>
      <c r="L394" s="15"/>
      <c r="M394" s="15"/>
      <c r="N394" s="1"/>
      <c r="O394" s="1"/>
    </row>
    <row r="395" customFormat="false" ht="15" hidden="false" customHeight="false" outlineLevel="0" collapsed="false">
      <c r="A395" s="1"/>
      <c r="B395" s="8" t="str">
        <f aca="false">IF(D395="","","P-"&amp;TEXT(ROW()-6,"000"))</f>
        <v/>
      </c>
      <c r="C395" s="10"/>
      <c r="D395" s="10"/>
      <c r="E395" s="10"/>
      <c r="F395" s="18"/>
      <c r="G395" s="11"/>
      <c r="H395" s="10"/>
      <c r="I395" s="12" t="str">
        <f aca="false">IF(H395="","",IF(H395&lt;10,"Sí","No"))</f>
        <v/>
      </c>
      <c r="J395" s="10"/>
      <c r="K395" s="12" t="str">
        <f aca="false">IF(B395="","",COUNTIFS(Competencia!$B$7:$B$406,B395,Competencia!$G$7:$G$406,"Sí"))</f>
        <v/>
      </c>
      <c r="L395" s="10"/>
      <c r="M395" s="10"/>
      <c r="N395" s="1"/>
      <c r="O395" s="1"/>
    </row>
    <row r="396" customFormat="false" ht="15" hidden="false" customHeight="false" outlineLevel="0" collapsed="false">
      <c r="A396" s="1"/>
      <c r="B396" s="13" t="str">
        <f aca="false">IF(D396="","","P-"&amp;TEXT(ROW()-6,"000"))</f>
        <v/>
      </c>
      <c r="C396" s="15"/>
      <c r="D396" s="15"/>
      <c r="E396" s="15"/>
      <c r="F396" s="19"/>
      <c r="G396" s="16"/>
      <c r="H396" s="15"/>
      <c r="I396" s="17" t="str">
        <f aca="false">IF(H396="","",IF(H396&lt;10,"Sí","No"))</f>
        <v/>
      </c>
      <c r="J396" s="15"/>
      <c r="K396" s="17" t="str">
        <f aca="false">IF(B396="","",COUNTIFS(Competencia!$B$7:$B$406,B396,Competencia!$G$7:$G$406,"Sí"))</f>
        <v/>
      </c>
      <c r="L396" s="15"/>
      <c r="M396" s="15"/>
      <c r="N396" s="1"/>
      <c r="O396" s="1"/>
    </row>
    <row r="397" customFormat="false" ht="15" hidden="false" customHeight="false" outlineLevel="0" collapsed="false">
      <c r="A397" s="1"/>
      <c r="B397" s="8" t="str">
        <f aca="false">IF(D397="","","P-"&amp;TEXT(ROW()-6,"000"))</f>
        <v/>
      </c>
      <c r="C397" s="10"/>
      <c r="D397" s="10"/>
      <c r="E397" s="10"/>
      <c r="F397" s="18"/>
      <c r="G397" s="11"/>
      <c r="H397" s="10"/>
      <c r="I397" s="12" t="str">
        <f aca="false">IF(H397="","",IF(H397&lt;10,"Sí","No"))</f>
        <v/>
      </c>
      <c r="J397" s="10"/>
      <c r="K397" s="12" t="str">
        <f aca="false">IF(B397="","",COUNTIFS(Competencia!$B$7:$B$406,B397,Competencia!$G$7:$G$406,"Sí"))</f>
        <v/>
      </c>
      <c r="L397" s="10"/>
      <c r="M397" s="10"/>
      <c r="N397" s="1"/>
      <c r="O397" s="1"/>
    </row>
    <row r="398" customFormat="false" ht="15" hidden="false" customHeight="false" outlineLevel="0" collapsed="false">
      <c r="A398" s="1"/>
      <c r="B398" s="13" t="str">
        <f aca="false">IF(D398="","","P-"&amp;TEXT(ROW()-6,"000"))</f>
        <v/>
      </c>
      <c r="C398" s="15"/>
      <c r="D398" s="15"/>
      <c r="E398" s="15"/>
      <c r="F398" s="19"/>
      <c r="G398" s="16"/>
      <c r="H398" s="15"/>
      <c r="I398" s="17" t="str">
        <f aca="false">IF(H398="","",IF(H398&lt;10,"Sí","No"))</f>
        <v/>
      </c>
      <c r="J398" s="15"/>
      <c r="K398" s="17" t="str">
        <f aca="false">IF(B398="","",COUNTIFS(Competencia!$B$7:$B$406,B398,Competencia!$G$7:$G$406,"Sí"))</f>
        <v/>
      </c>
      <c r="L398" s="15"/>
      <c r="M398" s="15"/>
      <c r="N398" s="1"/>
      <c r="O398" s="1"/>
    </row>
    <row r="399" customFormat="false" ht="15" hidden="false" customHeight="false" outlineLevel="0" collapsed="false">
      <c r="A399" s="1"/>
      <c r="B399" s="8" t="str">
        <f aca="false">IF(D399="","","P-"&amp;TEXT(ROW()-6,"000"))</f>
        <v/>
      </c>
      <c r="C399" s="10"/>
      <c r="D399" s="10"/>
      <c r="E399" s="10"/>
      <c r="F399" s="18"/>
      <c r="G399" s="11"/>
      <c r="H399" s="10"/>
      <c r="I399" s="12" t="str">
        <f aca="false">IF(H399="","",IF(H399&lt;10,"Sí","No"))</f>
        <v/>
      </c>
      <c r="J399" s="10"/>
      <c r="K399" s="12" t="str">
        <f aca="false">IF(B399="","",COUNTIFS(Competencia!$B$7:$B$406,B399,Competencia!$G$7:$G$406,"Sí"))</f>
        <v/>
      </c>
      <c r="L399" s="10"/>
      <c r="M399" s="10"/>
      <c r="N399" s="1"/>
      <c r="O399" s="1"/>
    </row>
    <row r="400" customFormat="false" ht="15" hidden="false" customHeight="false" outlineLevel="0" collapsed="false">
      <c r="A400" s="1"/>
      <c r="B400" s="13" t="str">
        <f aca="false">IF(D400="","","P-"&amp;TEXT(ROW()-6,"000"))</f>
        <v/>
      </c>
      <c r="C400" s="15"/>
      <c r="D400" s="15"/>
      <c r="E400" s="15"/>
      <c r="F400" s="19"/>
      <c r="G400" s="16"/>
      <c r="H400" s="15"/>
      <c r="I400" s="17" t="str">
        <f aca="false">IF(H400="","",IF(H400&lt;10,"Sí","No"))</f>
        <v/>
      </c>
      <c r="J400" s="15"/>
      <c r="K400" s="17" t="str">
        <f aca="false">IF(B400="","",COUNTIFS(Competencia!$B$7:$B$406,B400,Competencia!$G$7:$G$406,"Sí"))</f>
        <v/>
      </c>
      <c r="L400" s="15"/>
      <c r="M400" s="15"/>
      <c r="N400" s="1"/>
      <c r="O400" s="1"/>
    </row>
    <row r="401" customFormat="false" ht="15" hidden="false" customHeight="false" outlineLevel="0" collapsed="false">
      <c r="A401" s="1"/>
      <c r="B401" s="8" t="str">
        <f aca="false">IF(D401="","","P-"&amp;TEXT(ROW()-6,"000"))</f>
        <v/>
      </c>
      <c r="C401" s="10"/>
      <c r="D401" s="10"/>
      <c r="E401" s="10"/>
      <c r="F401" s="18"/>
      <c r="G401" s="11"/>
      <c r="H401" s="10"/>
      <c r="I401" s="12" t="str">
        <f aca="false">IF(H401="","",IF(H401&lt;10,"Sí","No"))</f>
        <v/>
      </c>
      <c r="J401" s="10"/>
      <c r="K401" s="12" t="str">
        <f aca="false">IF(B401="","",COUNTIFS(Competencia!$B$7:$B$406,B401,Competencia!$G$7:$G$406,"Sí"))</f>
        <v/>
      </c>
      <c r="L401" s="10"/>
      <c r="M401" s="10"/>
      <c r="N401" s="1"/>
      <c r="O401" s="1"/>
    </row>
    <row r="402" customFormat="false" ht="15" hidden="false" customHeight="false" outlineLevel="0" collapsed="false">
      <c r="A402" s="1"/>
      <c r="B402" s="13" t="str">
        <f aca="false">IF(D402="","","P-"&amp;TEXT(ROW()-6,"000"))</f>
        <v/>
      </c>
      <c r="C402" s="15"/>
      <c r="D402" s="15"/>
      <c r="E402" s="15"/>
      <c r="F402" s="19"/>
      <c r="G402" s="16"/>
      <c r="H402" s="15"/>
      <c r="I402" s="17" t="str">
        <f aca="false">IF(H402="","",IF(H402&lt;10,"Sí","No"))</f>
        <v/>
      </c>
      <c r="J402" s="15"/>
      <c r="K402" s="17" t="str">
        <f aca="false">IF(B402="","",COUNTIFS(Competencia!$B$7:$B$406,B402,Competencia!$G$7:$G$406,"Sí"))</f>
        <v/>
      </c>
      <c r="L402" s="15"/>
      <c r="M402" s="15"/>
      <c r="N402" s="1"/>
      <c r="O402" s="1"/>
    </row>
    <row r="403" customFormat="false" ht="15" hidden="false" customHeight="false" outlineLevel="0" collapsed="false">
      <c r="A403" s="1"/>
      <c r="B403" s="8" t="str">
        <f aca="false">IF(D403="","","P-"&amp;TEXT(ROW()-6,"000"))</f>
        <v/>
      </c>
      <c r="C403" s="10"/>
      <c r="D403" s="10"/>
      <c r="E403" s="10"/>
      <c r="F403" s="18"/>
      <c r="G403" s="11"/>
      <c r="H403" s="10"/>
      <c r="I403" s="12" t="str">
        <f aca="false">IF(H403="","",IF(H403&lt;10,"Sí","No"))</f>
        <v/>
      </c>
      <c r="J403" s="10"/>
      <c r="K403" s="12" t="str">
        <f aca="false">IF(B403="","",COUNTIFS(Competencia!$B$7:$B$406,B403,Competencia!$G$7:$G$406,"Sí"))</f>
        <v/>
      </c>
      <c r="L403" s="10"/>
      <c r="M403" s="10"/>
      <c r="N403" s="1"/>
      <c r="O403" s="1"/>
    </row>
    <row r="404" customFormat="false" ht="15" hidden="false" customHeight="false" outlineLevel="0" collapsed="false">
      <c r="A404" s="1"/>
      <c r="B404" s="13" t="str">
        <f aca="false">IF(D404="","","P-"&amp;TEXT(ROW()-6,"000"))</f>
        <v/>
      </c>
      <c r="C404" s="15"/>
      <c r="D404" s="15"/>
      <c r="E404" s="15"/>
      <c r="F404" s="19"/>
      <c r="G404" s="16"/>
      <c r="H404" s="15"/>
      <c r="I404" s="17" t="str">
        <f aca="false">IF(H404="","",IF(H404&lt;10,"Sí","No"))</f>
        <v/>
      </c>
      <c r="J404" s="15"/>
      <c r="K404" s="17" t="str">
        <f aca="false">IF(B404="","",COUNTIFS(Competencia!$B$7:$B$406,B404,Competencia!$G$7:$G$406,"Sí"))</f>
        <v/>
      </c>
      <c r="L404" s="15"/>
      <c r="M404" s="15"/>
      <c r="N404" s="1"/>
      <c r="O404" s="1"/>
    </row>
    <row r="405" customFormat="false" ht="15" hidden="false" customHeight="false" outlineLevel="0" collapsed="false">
      <c r="A405" s="1"/>
      <c r="B405" s="8" t="str">
        <f aca="false">IF(D405="","","P-"&amp;TEXT(ROW()-6,"000"))</f>
        <v/>
      </c>
      <c r="C405" s="10"/>
      <c r="D405" s="10"/>
      <c r="E405" s="10"/>
      <c r="F405" s="18"/>
      <c r="G405" s="11"/>
      <c r="H405" s="10"/>
      <c r="I405" s="12" t="str">
        <f aca="false">IF(H405="","",IF(H405&lt;10,"Sí","No"))</f>
        <v/>
      </c>
      <c r="J405" s="10"/>
      <c r="K405" s="12" t="str">
        <f aca="false">IF(B405="","",COUNTIFS(Competencia!$B$7:$B$406,B405,Competencia!$G$7:$G$406,"Sí"))</f>
        <v/>
      </c>
      <c r="L405" s="10"/>
      <c r="M405" s="10"/>
      <c r="N405" s="1"/>
      <c r="O405" s="1"/>
    </row>
    <row r="406" customFormat="false" ht="15" hidden="false" customHeight="false" outlineLevel="0" collapsed="false">
      <c r="A406" s="1"/>
      <c r="B406" s="13" t="str">
        <f aca="false">IF(D406="","","P-"&amp;TEXT(ROW()-6,"000"))</f>
        <v/>
      </c>
      <c r="C406" s="15"/>
      <c r="D406" s="15"/>
      <c r="E406" s="15"/>
      <c r="F406" s="19"/>
      <c r="G406" s="16"/>
      <c r="H406" s="15"/>
      <c r="I406" s="17" t="str">
        <f aca="false">IF(H406="","",IF(H406&lt;10,"Sí","No"))</f>
        <v/>
      </c>
      <c r="J406" s="15"/>
      <c r="K406" s="17" t="str">
        <f aca="false">IF(B406="","",COUNTIFS(Competencia!$B$7:$B$406,B406,Competencia!$G$7:$G$406,"Sí"))</f>
        <v/>
      </c>
      <c r="L406" s="15"/>
      <c r="M406" s="15"/>
      <c r="N406" s="1"/>
      <c r="O406" s="1"/>
    </row>
    <row r="407" customFormat="false" ht="15" hidden="false" customHeight="false" outlineLevel="0" collapsed="false">
      <c r="A407" s="1"/>
      <c r="B407" s="1"/>
      <c r="C407" s="1"/>
      <c r="D407" s="1"/>
      <c r="E407" s="1"/>
      <c r="F407" s="1"/>
      <c r="G407" s="1"/>
      <c r="H407" s="1"/>
      <c r="I407" s="1"/>
      <c r="J407" s="1"/>
      <c r="K407" s="1"/>
      <c r="L407" s="1"/>
      <c r="M407" s="1"/>
      <c r="N407" s="1"/>
      <c r="O407" s="1"/>
    </row>
    <row r="408" customFormat="false" ht="15" hidden="false" customHeight="false" outlineLevel="0" collapsed="false">
      <c r="A408" s="1"/>
      <c r="B408" s="1"/>
      <c r="C408" s="1"/>
      <c r="D408" s="1"/>
      <c r="E408" s="1"/>
      <c r="F408" s="1"/>
      <c r="G408" s="1"/>
      <c r="H408" s="1"/>
      <c r="I408" s="1"/>
      <c r="J408" s="1"/>
      <c r="K408" s="1"/>
      <c r="L408" s="1"/>
      <c r="M408" s="1"/>
      <c r="N408" s="1"/>
      <c r="O408" s="1"/>
    </row>
    <row r="409" customFormat="false" ht="15" hidden="false" customHeight="false" outlineLevel="0" collapsed="false">
      <c r="A409" s="1"/>
      <c r="B409" s="1"/>
      <c r="C409" s="1"/>
      <c r="D409" s="1"/>
      <c r="E409" s="1"/>
      <c r="F409" s="1"/>
      <c r="G409" s="1"/>
      <c r="H409" s="1"/>
      <c r="I409" s="1"/>
      <c r="J409" s="1"/>
      <c r="K409" s="1"/>
      <c r="L409" s="1"/>
      <c r="M409" s="1"/>
      <c r="N409" s="1"/>
      <c r="O409" s="1"/>
    </row>
    <row r="410" customFormat="false" ht="15" hidden="false" customHeight="false" outlineLevel="0" collapsed="false">
      <c r="A410" s="1"/>
      <c r="B410" s="1"/>
      <c r="C410" s="1"/>
      <c r="D410" s="1"/>
      <c r="E410" s="1"/>
      <c r="F410" s="1"/>
      <c r="G410" s="1"/>
      <c r="H410" s="1"/>
      <c r="I410" s="1"/>
      <c r="J410" s="1"/>
      <c r="K410" s="1"/>
      <c r="L410" s="1"/>
      <c r="M410" s="1"/>
      <c r="N410" s="1"/>
      <c r="O410" s="1"/>
    </row>
    <row r="411" customFormat="false" ht="15" hidden="false" customHeight="false" outlineLevel="0" collapsed="false">
      <c r="A411" s="1"/>
      <c r="B411" s="1"/>
      <c r="C411" s="1"/>
      <c r="D411" s="1"/>
      <c r="E411" s="1"/>
      <c r="F411" s="1"/>
      <c r="G411" s="1"/>
      <c r="H411" s="1"/>
      <c r="I411" s="1"/>
      <c r="J411" s="1"/>
      <c r="K411" s="1"/>
      <c r="L411" s="1"/>
      <c r="M411" s="1"/>
      <c r="N411" s="1"/>
      <c r="O411" s="1"/>
    </row>
  </sheetData>
  <autoFilter ref="B6:M406"/>
  <conditionalFormatting sqref="L7:L406">
    <cfRule type="cellIs" priority="2" operator="equal" aboveAverage="0" equalAverage="0" bottom="0" percent="0" rank="0" text="" dxfId="6">
      <formula>"Pasó"</formula>
    </cfRule>
    <cfRule type="cellIs" priority="3" operator="equal" aboveAverage="0" equalAverage="0" bottom="0" percent="0" rank="0" text="" dxfId="7">
      <formula>"Descartado"</formula>
    </cfRule>
  </conditionalFormatting>
  <dataValidations count="2">
    <dataValidation allowBlank="true" errorStyle="stop" operator="between" showDropDown="false" showErrorMessage="false" showInputMessage="false" sqref="J7:J406" type="list">
      <formula1>Listas!$C$3:$C$4</formula1>
      <formula2>0</formula2>
    </dataValidation>
    <dataValidation allowBlank="true" errorStyle="stop" operator="between" showDropDown="false" showErrorMessage="false" showInputMessage="false" sqref="L7:L406" type="list">
      <formula1>Listas!$E$3:$E$5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C4B6"/>
    <pageSetUpPr fitToPage="false"/>
  </sheetPr>
  <dimension ref="A1:K6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2"/>
    <col collapsed="false" customWidth="true" hidden="false" outlineLevel="0" max="3" min="3" style="0" width="36"/>
    <col collapsed="false" customWidth="true" hidden="false" outlineLevel="0" max="4" min="4" style="0" width="13"/>
    <col collapsed="false" customWidth="true" hidden="false" outlineLevel="0" max="5" min="5" style="0" width="15"/>
    <col collapsed="false" customWidth="true" hidden="false" outlineLevel="0" max="6" min="6" style="0" width="11"/>
    <col collapsed="false" customWidth="true" hidden="false" outlineLevel="0" max="7" min="7" style="0" width="10"/>
    <col collapsed="false" customWidth="true" hidden="false" outlineLevel="0" max="8" min="8" style="0" width="30"/>
    <col collapsed="false" customWidth="true" hidden="false" outlineLevel="0" max="9" min="9" style="0" width="13"/>
    <col collapsed="false" customWidth="true" hidden="false" outlineLevel="0" max="10" min="10" style="0" width="32"/>
  </cols>
  <sheetData>
    <row r="1" customFormat="false" ht="7.5" hidden="false" customHeight="true" outlineLevel="0" collapsed="false">
      <c r="A1" s="1"/>
      <c r="B1" s="1"/>
      <c r="C1" s="1"/>
      <c r="D1" s="1"/>
      <c r="E1" s="1"/>
      <c r="F1" s="1"/>
      <c r="G1" s="1"/>
      <c r="H1" s="1"/>
      <c r="I1" s="1"/>
      <c r="J1" s="1"/>
      <c r="K1" s="1"/>
    </row>
    <row r="2" customFormat="false" ht="18" hidden="false" customHeight="true" outlineLevel="0" collapsed="false">
      <c r="A2" s="1"/>
      <c r="B2" s="1"/>
      <c r="C2" s="1"/>
      <c r="D2" s="1"/>
      <c r="E2" s="2" t="s">
        <v>52</v>
      </c>
      <c r="F2" s="1"/>
      <c r="G2" s="1"/>
      <c r="H2" s="1"/>
      <c r="I2" s="1"/>
      <c r="J2" s="1"/>
      <c r="K2" s="1"/>
    </row>
    <row r="3" customFormat="false" ht="18" hidden="false" customHeight="true" outlineLevel="0" collapsed="false">
      <c r="A3" s="1"/>
      <c r="B3" s="1"/>
      <c r="C3" s="1"/>
      <c r="D3" s="1"/>
      <c r="E3" s="3" t="s">
        <v>53</v>
      </c>
      <c r="F3" s="1"/>
      <c r="G3" s="1"/>
      <c r="H3" s="1"/>
      <c r="I3" s="1"/>
      <c r="J3" s="1"/>
      <c r="K3" s="1"/>
    </row>
    <row r="4" customFormat="false" ht="15" hidden="false" customHeight="false" outlineLevel="0" collapsed="false">
      <c r="A4" s="1"/>
      <c r="B4" s="1"/>
      <c r="C4" s="1"/>
      <c r="D4" s="1"/>
      <c r="E4" s="1"/>
      <c r="F4" s="1"/>
      <c r="G4" s="1"/>
      <c r="H4" s="1"/>
      <c r="I4" s="1"/>
      <c r="J4" s="1"/>
      <c r="K4" s="1"/>
    </row>
    <row r="5" customFormat="false" ht="15" hidden="false" customHeight="false" outlineLevel="0" collapsed="false">
      <c r="A5" s="1"/>
      <c r="B5" s="1"/>
      <c r="C5" s="1"/>
      <c r="D5" s="1"/>
      <c r="E5" s="1"/>
      <c r="F5" s="1"/>
      <c r="G5" s="1"/>
      <c r="H5" s="1"/>
      <c r="I5" s="1"/>
      <c r="J5" s="1"/>
      <c r="K5" s="1"/>
    </row>
    <row r="6" customFormat="false" ht="33.75" hidden="false" customHeight="true" outlineLevel="0" collapsed="false">
      <c r="A6" s="1"/>
      <c r="B6" s="7" t="s">
        <v>54</v>
      </c>
      <c r="C6" s="7" t="s">
        <v>55</v>
      </c>
      <c r="D6" s="7" t="s">
        <v>56</v>
      </c>
      <c r="E6" s="7" t="s">
        <v>20</v>
      </c>
      <c r="F6" s="7" t="s">
        <v>57</v>
      </c>
      <c r="G6" s="7" t="s">
        <v>58</v>
      </c>
      <c r="H6" s="7" t="s">
        <v>59</v>
      </c>
      <c r="I6" s="7" t="s">
        <v>60</v>
      </c>
      <c r="J6" s="7" t="s">
        <v>29</v>
      </c>
      <c r="K6" s="1"/>
    </row>
    <row r="7" customFormat="false" ht="15" hidden="false" customHeight="false" outlineLevel="0" collapsed="false">
      <c r="A7" s="1"/>
      <c r="B7" s="10" t="s">
        <v>61</v>
      </c>
      <c r="C7" s="10" t="s">
        <v>62</v>
      </c>
      <c r="D7" s="10" t="s">
        <v>63</v>
      </c>
      <c r="E7" s="10" t="s">
        <v>64</v>
      </c>
      <c r="F7" s="10" t="n">
        <v>6</v>
      </c>
      <c r="G7" s="12" t="str">
        <f aca="false">IF(D7="","",IF(OR(D7="WhatsApp",D7="Apagado"),"No","Sí"))</f>
        <v>Sí</v>
      </c>
      <c r="H7" s="10" t="s">
        <v>65</v>
      </c>
      <c r="I7" s="20" t="n">
        <v>99900</v>
      </c>
      <c r="J7" s="10"/>
      <c r="K7" s="1"/>
    </row>
    <row r="8" customFormat="false" ht="15" hidden="false" customHeight="false" outlineLevel="0" collapsed="false">
      <c r="A8" s="1"/>
      <c r="B8" s="15"/>
      <c r="C8" s="15"/>
      <c r="D8" s="15"/>
      <c r="E8" s="15"/>
      <c r="F8" s="15"/>
      <c r="G8" s="17" t="str">
        <f aca="false">IF(D8="","",IF(OR(D8="WhatsApp",D8="Apagado"),"No","Sí"))</f>
        <v/>
      </c>
      <c r="H8" s="15"/>
      <c r="I8" s="21"/>
      <c r="J8" s="15"/>
      <c r="K8" s="1"/>
    </row>
    <row r="9" customFormat="false" ht="15" hidden="false" customHeight="false" outlineLevel="0" collapsed="false">
      <c r="A9" s="1"/>
      <c r="B9" s="10"/>
      <c r="C9" s="10"/>
      <c r="D9" s="10"/>
      <c r="E9" s="10"/>
      <c r="F9" s="10"/>
      <c r="G9" s="12" t="str">
        <f aca="false">IF(D9="","",IF(OR(D9="WhatsApp",D9="Apagado"),"No","Sí"))</f>
        <v/>
      </c>
      <c r="H9" s="10"/>
      <c r="I9" s="20"/>
      <c r="J9" s="10"/>
      <c r="K9" s="1"/>
    </row>
    <row r="10" customFormat="false" ht="15" hidden="false" customHeight="false" outlineLevel="0" collapsed="false">
      <c r="A10" s="1"/>
      <c r="B10" s="15"/>
      <c r="C10" s="15"/>
      <c r="D10" s="15"/>
      <c r="E10" s="15"/>
      <c r="F10" s="15"/>
      <c r="G10" s="17" t="str">
        <f aca="false">IF(D10="","",IF(OR(D10="WhatsApp",D10="Apagado"),"No","Sí"))</f>
        <v/>
      </c>
      <c r="H10" s="15"/>
      <c r="I10" s="21"/>
      <c r="J10" s="15"/>
      <c r="K10" s="1"/>
    </row>
    <row r="11" customFormat="false" ht="15" hidden="false" customHeight="false" outlineLevel="0" collapsed="false">
      <c r="A11" s="1"/>
      <c r="B11" s="10"/>
      <c r="C11" s="10"/>
      <c r="D11" s="10"/>
      <c r="E11" s="10"/>
      <c r="F11" s="10"/>
      <c r="G11" s="12" t="str">
        <f aca="false">IF(D11="","",IF(OR(D11="WhatsApp",D11="Apagado"),"No","Sí"))</f>
        <v/>
      </c>
      <c r="H11" s="10"/>
      <c r="I11" s="20"/>
      <c r="J11" s="10"/>
      <c r="K11" s="1"/>
    </row>
    <row r="12" customFormat="false" ht="15" hidden="false" customHeight="false" outlineLevel="0" collapsed="false">
      <c r="A12" s="1"/>
      <c r="B12" s="15"/>
      <c r="C12" s="15"/>
      <c r="D12" s="15"/>
      <c r="E12" s="15"/>
      <c r="F12" s="15"/>
      <c r="G12" s="17" t="str">
        <f aca="false">IF(D12="","",IF(OR(D12="WhatsApp",D12="Apagado"),"No","Sí"))</f>
        <v/>
      </c>
      <c r="H12" s="15"/>
      <c r="I12" s="21"/>
      <c r="J12" s="15"/>
      <c r="K12" s="1"/>
    </row>
    <row r="13" customFormat="false" ht="15" hidden="false" customHeight="false" outlineLevel="0" collapsed="false">
      <c r="A13" s="1"/>
      <c r="B13" s="10"/>
      <c r="C13" s="10"/>
      <c r="D13" s="10"/>
      <c r="E13" s="10"/>
      <c r="F13" s="10"/>
      <c r="G13" s="12" t="str">
        <f aca="false">IF(D13="","",IF(OR(D13="WhatsApp",D13="Apagado"),"No","Sí"))</f>
        <v/>
      </c>
      <c r="H13" s="10"/>
      <c r="I13" s="20"/>
      <c r="J13" s="10"/>
      <c r="K13" s="1"/>
    </row>
    <row r="14" customFormat="false" ht="15" hidden="false" customHeight="false" outlineLevel="0" collapsed="false">
      <c r="A14" s="1"/>
      <c r="B14" s="15"/>
      <c r="C14" s="15"/>
      <c r="D14" s="15"/>
      <c r="E14" s="15"/>
      <c r="F14" s="15"/>
      <c r="G14" s="17" t="str">
        <f aca="false">IF(D14="","",IF(OR(D14="WhatsApp",D14="Apagado"),"No","Sí"))</f>
        <v/>
      </c>
      <c r="H14" s="15"/>
      <c r="I14" s="21"/>
      <c r="J14" s="15"/>
      <c r="K14" s="1"/>
    </row>
    <row r="15" customFormat="false" ht="15" hidden="false" customHeight="false" outlineLevel="0" collapsed="false">
      <c r="A15" s="1"/>
      <c r="B15" s="10"/>
      <c r="C15" s="10"/>
      <c r="D15" s="10"/>
      <c r="E15" s="10"/>
      <c r="F15" s="10"/>
      <c r="G15" s="12" t="str">
        <f aca="false">IF(D15="","",IF(OR(D15="WhatsApp",D15="Apagado"),"No","Sí"))</f>
        <v/>
      </c>
      <c r="H15" s="10"/>
      <c r="I15" s="20"/>
      <c r="J15" s="10"/>
      <c r="K15" s="1"/>
    </row>
    <row r="16" customFormat="false" ht="15" hidden="false" customHeight="false" outlineLevel="0" collapsed="false">
      <c r="A16" s="1"/>
      <c r="B16" s="15"/>
      <c r="C16" s="15"/>
      <c r="D16" s="15"/>
      <c r="E16" s="15"/>
      <c r="F16" s="15"/>
      <c r="G16" s="17" t="str">
        <f aca="false">IF(D16="","",IF(OR(D16="WhatsApp",D16="Apagado"),"No","Sí"))</f>
        <v/>
      </c>
      <c r="H16" s="15"/>
      <c r="I16" s="21"/>
      <c r="J16" s="15"/>
      <c r="K16" s="1"/>
    </row>
    <row r="17" customFormat="false" ht="15" hidden="false" customHeight="false" outlineLevel="0" collapsed="false">
      <c r="A17" s="1"/>
      <c r="B17" s="10"/>
      <c r="C17" s="10"/>
      <c r="D17" s="10"/>
      <c r="E17" s="10"/>
      <c r="F17" s="10"/>
      <c r="G17" s="12" t="str">
        <f aca="false">IF(D17="","",IF(OR(D17="WhatsApp",D17="Apagado"),"No","Sí"))</f>
        <v/>
      </c>
      <c r="H17" s="10"/>
      <c r="I17" s="20"/>
      <c r="J17" s="10"/>
      <c r="K17" s="1"/>
    </row>
    <row r="18" customFormat="false" ht="15" hidden="false" customHeight="false" outlineLevel="0" collapsed="false">
      <c r="A18" s="1"/>
      <c r="B18" s="15"/>
      <c r="C18" s="15"/>
      <c r="D18" s="15"/>
      <c r="E18" s="15"/>
      <c r="F18" s="15"/>
      <c r="G18" s="17" t="str">
        <f aca="false">IF(D18="","",IF(OR(D18="WhatsApp",D18="Apagado"),"No","Sí"))</f>
        <v/>
      </c>
      <c r="H18" s="15"/>
      <c r="I18" s="21"/>
      <c r="J18" s="15"/>
      <c r="K18" s="1"/>
    </row>
    <row r="19" customFormat="false" ht="15" hidden="false" customHeight="false" outlineLevel="0" collapsed="false">
      <c r="A19" s="1"/>
      <c r="B19" s="10"/>
      <c r="C19" s="10"/>
      <c r="D19" s="10"/>
      <c r="E19" s="10"/>
      <c r="F19" s="10"/>
      <c r="G19" s="12" t="str">
        <f aca="false">IF(D19="","",IF(OR(D19="WhatsApp",D19="Apagado"),"No","Sí"))</f>
        <v/>
      </c>
      <c r="H19" s="10"/>
      <c r="I19" s="20"/>
      <c r="J19" s="10"/>
      <c r="K19" s="1"/>
    </row>
    <row r="20" customFormat="false" ht="15" hidden="false" customHeight="false" outlineLevel="0" collapsed="false">
      <c r="A20" s="1"/>
      <c r="B20" s="15"/>
      <c r="C20" s="15"/>
      <c r="D20" s="15"/>
      <c r="E20" s="15"/>
      <c r="F20" s="15"/>
      <c r="G20" s="17" t="str">
        <f aca="false">IF(D20="","",IF(OR(D20="WhatsApp",D20="Apagado"),"No","Sí"))</f>
        <v/>
      </c>
      <c r="H20" s="15"/>
      <c r="I20" s="21"/>
      <c r="J20" s="15"/>
      <c r="K20" s="1"/>
    </row>
    <row r="21" customFormat="false" ht="15" hidden="false" customHeight="false" outlineLevel="0" collapsed="false">
      <c r="A21" s="1"/>
      <c r="B21" s="10"/>
      <c r="C21" s="10"/>
      <c r="D21" s="10"/>
      <c r="E21" s="10"/>
      <c r="F21" s="10"/>
      <c r="G21" s="12" t="str">
        <f aca="false">IF(D21="","",IF(OR(D21="WhatsApp",D21="Apagado"),"No","Sí"))</f>
        <v/>
      </c>
      <c r="H21" s="10"/>
      <c r="I21" s="20"/>
      <c r="J21" s="10"/>
      <c r="K21" s="1"/>
    </row>
    <row r="22" customFormat="false" ht="15" hidden="false" customHeight="false" outlineLevel="0" collapsed="false">
      <c r="A22" s="1"/>
      <c r="B22" s="15"/>
      <c r="C22" s="15"/>
      <c r="D22" s="15"/>
      <c r="E22" s="15"/>
      <c r="F22" s="15"/>
      <c r="G22" s="17" t="str">
        <f aca="false">IF(D22="","",IF(OR(D22="WhatsApp",D22="Apagado"),"No","Sí"))</f>
        <v/>
      </c>
      <c r="H22" s="15"/>
      <c r="I22" s="21"/>
      <c r="J22" s="15"/>
      <c r="K22" s="1"/>
    </row>
    <row r="23" customFormat="false" ht="15" hidden="false" customHeight="false" outlineLevel="0" collapsed="false">
      <c r="A23" s="1"/>
      <c r="B23" s="10"/>
      <c r="C23" s="10"/>
      <c r="D23" s="10"/>
      <c r="E23" s="10"/>
      <c r="F23" s="10"/>
      <c r="G23" s="12" t="str">
        <f aca="false">IF(D23="","",IF(OR(D23="WhatsApp",D23="Apagado"),"No","Sí"))</f>
        <v/>
      </c>
      <c r="H23" s="10"/>
      <c r="I23" s="20"/>
      <c r="J23" s="10"/>
      <c r="K23" s="1"/>
    </row>
    <row r="24" customFormat="false" ht="15" hidden="false" customHeight="false" outlineLevel="0" collapsed="false">
      <c r="A24" s="1"/>
      <c r="B24" s="15"/>
      <c r="C24" s="15"/>
      <c r="D24" s="15"/>
      <c r="E24" s="15"/>
      <c r="F24" s="15"/>
      <c r="G24" s="17" t="str">
        <f aca="false">IF(D24="","",IF(OR(D24="WhatsApp",D24="Apagado"),"No","Sí"))</f>
        <v/>
      </c>
      <c r="H24" s="15"/>
      <c r="I24" s="21"/>
      <c r="J24" s="15"/>
      <c r="K24" s="1"/>
    </row>
    <row r="25" customFormat="false" ht="15" hidden="false" customHeight="false" outlineLevel="0" collapsed="false">
      <c r="A25" s="1"/>
      <c r="B25" s="10"/>
      <c r="C25" s="10"/>
      <c r="D25" s="10"/>
      <c r="E25" s="10"/>
      <c r="F25" s="10"/>
      <c r="G25" s="12" t="str">
        <f aca="false">IF(D25="","",IF(OR(D25="WhatsApp",D25="Apagado"),"No","Sí"))</f>
        <v/>
      </c>
      <c r="H25" s="10"/>
      <c r="I25" s="20"/>
      <c r="J25" s="10"/>
      <c r="K25" s="1"/>
    </row>
    <row r="26" customFormat="false" ht="15" hidden="false" customHeight="false" outlineLevel="0" collapsed="false">
      <c r="A26" s="1"/>
      <c r="B26" s="15"/>
      <c r="C26" s="15"/>
      <c r="D26" s="15"/>
      <c r="E26" s="15"/>
      <c r="F26" s="15"/>
      <c r="G26" s="17" t="str">
        <f aca="false">IF(D26="","",IF(OR(D26="WhatsApp",D26="Apagado"),"No","Sí"))</f>
        <v/>
      </c>
      <c r="H26" s="15"/>
      <c r="I26" s="21"/>
      <c r="J26" s="15"/>
      <c r="K26" s="1"/>
    </row>
    <row r="27" customFormat="false" ht="15" hidden="false" customHeight="false" outlineLevel="0" collapsed="false">
      <c r="A27" s="1"/>
      <c r="B27" s="10"/>
      <c r="C27" s="10"/>
      <c r="D27" s="10"/>
      <c r="E27" s="10"/>
      <c r="F27" s="10"/>
      <c r="G27" s="12" t="str">
        <f aca="false">IF(D27="","",IF(OR(D27="WhatsApp",D27="Apagado"),"No","Sí"))</f>
        <v/>
      </c>
      <c r="H27" s="10"/>
      <c r="I27" s="20"/>
      <c r="J27" s="10"/>
      <c r="K27" s="1"/>
    </row>
    <row r="28" customFormat="false" ht="15" hidden="false" customHeight="false" outlineLevel="0" collapsed="false">
      <c r="A28" s="1"/>
      <c r="B28" s="15"/>
      <c r="C28" s="15"/>
      <c r="D28" s="15"/>
      <c r="E28" s="15"/>
      <c r="F28" s="15"/>
      <c r="G28" s="17" t="str">
        <f aca="false">IF(D28="","",IF(OR(D28="WhatsApp",D28="Apagado"),"No","Sí"))</f>
        <v/>
      </c>
      <c r="H28" s="15"/>
      <c r="I28" s="21"/>
      <c r="J28" s="15"/>
      <c r="K28" s="1"/>
    </row>
    <row r="29" customFormat="false" ht="15" hidden="false" customHeight="false" outlineLevel="0" collapsed="false">
      <c r="A29" s="1"/>
      <c r="B29" s="10"/>
      <c r="C29" s="10"/>
      <c r="D29" s="10"/>
      <c r="E29" s="10"/>
      <c r="F29" s="10"/>
      <c r="G29" s="12" t="str">
        <f aca="false">IF(D29="","",IF(OR(D29="WhatsApp",D29="Apagado"),"No","Sí"))</f>
        <v/>
      </c>
      <c r="H29" s="10"/>
      <c r="I29" s="20"/>
      <c r="J29" s="10"/>
      <c r="K29" s="1"/>
    </row>
    <row r="30" customFormat="false" ht="15" hidden="false" customHeight="false" outlineLevel="0" collapsed="false">
      <c r="A30" s="1"/>
      <c r="B30" s="15"/>
      <c r="C30" s="15"/>
      <c r="D30" s="15"/>
      <c r="E30" s="15"/>
      <c r="F30" s="15"/>
      <c r="G30" s="17" t="str">
        <f aca="false">IF(D30="","",IF(OR(D30="WhatsApp",D30="Apagado"),"No","Sí"))</f>
        <v/>
      </c>
      <c r="H30" s="15"/>
      <c r="I30" s="21"/>
      <c r="J30" s="15"/>
      <c r="K30" s="1"/>
    </row>
    <row r="31" customFormat="false" ht="15" hidden="false" customHeight="false" outlineLevel="0" collapsed="false">
      <c r="A31" s="1"/>
      <c r="B31" s="10"/>
      <c r="C31" s="10"/>
      <c r="D31" s="10"/>
      <c r="E31" s="10"/>
      <c r="F31" s="10"/>
      <c r="G31" s="12" t="str">
        <f aca="false">IF(D31="","",IF(OR(D31="WhatsApp",D31="Apagado"),"No","Sí"))</f>
        <v/>
      </c>
      <c r="H31" s="10"/>
      <c r="I31" s="20"/>
      <c r="J31" s="10"/>
      <c r="K31" s="1"/>
    </row>
    <row r="32" customFormat="false" ht="15" hidden="false" customHeight="false" outlineLevel="0" collapsed="false">
      <c r="A32" s="1"/>
      <c r="B32" s="15"/>
      <c r="C32" s="15"/>
      <c r="D32" s="15"/>
      <c r="E32" s="15"/>
      <c r="F32" s="15"/>
      <c r="G32" s="17" t="str">
        <f aca="false">IF(D32="","",IF(OR(D32="WhatsApp",D32="Apagado"),"No","Sí"))</f>
        <v/>
      </c>
      <c r="H32" s="15"/>
      <c r="I32" s="21"/>
      <c r="J32" s="15"/>
      <c r="K32" s="1"/>
    </row>
    <row r="33" customFormat="false" ht="15" hidden="false" customHeight="false" outlineLevel="0" collapsed="false">
      <c r="A33" s="1"/>
      <c r="B33" s="10"/>
      <c r="C33" s="10"/>
      <c r="D33" s="10"/>
      <c r="E33" s="10"/>
      <c r="F33" s="10"/>
      <c r="G33" s="12" t="str">
        <f aca="false">IF(D33="","",IF(OR(D33="WhatsApp",D33="Apagado"),"No","Sí"))</f>
        <v/>
      </c>
      <c r="H33" s="10"/>
      <c r="I33" s="20"/>
      <c r="J33" s="10"/>
      <c r="K33" s="1"/>
    </row>
    <row r="34" customFormat="false" ht="15" hidden="false" customHeight="false" outlineLevel="0" collapsed="false">
      <c r="A34" s="1"/>
      <c r="B34" s="15"/>
      <c r="C34" s="15"/>
      <c r="D34" s="15"/>
      <c r="E34" s="15"/>
      <c r="F34" s="15"/>
      <c r="G34" s="17" t="str">
        <f aca="false">IF(D34="","",IF(OR(D34="WhatsApp",D34="Apagado"),"No","Sí"))</f>
        <v/>
      </c>
      <c r="H34" s="15"/>
      <c r="I34" s="21"/>
      <c r="J34" s="15"/>
      <c r="K34" s="1"/>
    </row>
    <row r="35" customFormat="false" ht="15" hidden="false" customHeight="false" outlineLevel="0" collapsed="false">
      <c r="A35" s="1"/>
      <c r="B35" s="10"/>
      <c r="C35" s="10"/>
      <c r="D35" s="10"/>
      <c r="E35" s="10"/>
      <c r="F35" s="10"/>
      <c r="G35" s="12" t="str">
        <f aca="false">IF(D35="","",IF(OR(D35="WhatsApp",D35="Apagado"),"No","Sí"))</f>
        <v/>
      </c>
      <c r="H35" s="10"/>
      <c r="I35" s="20"/>
      <c r="J35" s="10"/>
      <c r="K35" s="1"/>
    </row>
    <row r="36" customFormat="false" ht="15" hidden="false" customHeight="false" outlineLevel="0" collapsed="false">
      <c r="A36" s="1"/>
      <c r="B36" s="15"/>
      <c r="C36" s="15"/>
      <c r="D36" s="15"/>
      <c r="E36" s="15"/>
      <c r="F36" s="15"/>
      <c r="G36" s="17" t="str">
        <f aca="false">IF(D36="","",IF(OR(D36="WhatsApp",D36="Apagado"),"No","Sí"))</f>
        <v/>
      </c>
      <c r="H36" s="15"/>
      <c r="I36" s="21"/>
      <c r="J36" s="15"/>
      <c r="K36" s="1"/>
    </row>
    <row r="37" customFormat="false" ht="15" hidden="false" customHeight="false" outlineLevel="0" collapsed="false">
      <c r="A37" s="1"/>
      <c r="B37" s="10"/>
      <c r="C37" s="10"/>
      <c r="D37" s="10"/>
      <c r="E37" s="10"/>
      <c r="F37" s="10"/>
      <c r="G37" s="12" t="str">
        <f aca="false">IF(D37="","",IF(OR(D37="WhatsApp",D37="Apagado"),"No","Sí"))</f>
        <v/>
      </c>
      <c r="H37" s="10"/>
      <c r="I37" s="20"/>
      <c r="J37" s="10"/>
      <c r="K37" s="1"/>
    </row>
    <row r="38" customFormat="false" ht="15" hidden="false" customHeight="false" outlineLevel="0" collapsed="false">
      <c r="A38" s="1"/>
      <c r="B38" s="15"/>
      <c r="C38" s="15"/>
      <c r="D38" s="15"/>
      <c r="E38" s="15"/>
      <c r="F38" s="15"/>
      <c r="G38" s="17" t="str">
        <f aca="false">IF(D38="","",IF(OR(D38="WhatsApp",D38="Apagado"),"No","Sí"))</f>
        <v/>
      </c>
      <c r="H38" s="15"/>
      <c r="I38" s="21"/>
      <c r="J38" s="15"/>
      <c r="K38" s="1"/>
    </row>
    <row r="39" customFormat="false" ht="15" hidden="false" customHeight="false" outlineLevel="0" collapsed="false">
      <c r="A39" s="1"/>
      <c r="B39" s="10"/>
      <c r="C39" s="10"/>
      <c r="D39" s="10"/>
      <c r="E39" s="10"/>
      <c r="F39" s="10"/>
      <c r="G39" s="12" t="str">
        <f aca="false">IF(D39="","",IF(OR(D39="WhatsApp",D39="Apagado"),"No","Sí"))</f>
        <v/>
      </c>
      <c r="H39" s="10"/>
      <c r="I39" s="20"/>
      <c r="J39" s="10"/>
      <c r="K39" s="1"/>
    </row>
    <row r="40" customFormat="false" ht="15" hidden="false" customHeight="false" outlineLevel="0" collapsed="false">
      <c r="A40" s="1"/>
      <c r="B40" s="15"/>
      <c r="C40" s="15"/>
      <c r="D40" s="15"/>
      <c r="E40" s="15"/>
      <c r="F40" s="15"/>
      <c r="G40" s="17" t="str">
        <f aca="false">IF(D40="","",IF(OR(D40="WhatsApp",D40="Apagado"),"No","Sí"))</f>
        <v/>
      </c>
      <c r="H40" s="15"/>
      <c r="I40" s="21"/>
      <c r="J40" s="15"/>
      <c r="K40" s="1"/>
    </row>
    <row r="41" customFormat="false" ht="15" hidden="false" customHeight="false" outlineLevel="0" collapsed="false">
      <c r="A41" s="1"/>
      <c r="B41" s="10"/>
      <c r="C41" s="10"/>
      <c r="D41" s="10"/>
      <c r="E41" s="10"/>
      <c r="F41" s="10"/>
      <c r="G41" s="12" t="str">
        <f aca="false">IF(D41="","",IF(OR(D41="WhatsApp",D41="Apagado"),"No","Sí"))</f>
        <v/>
      </c>
      <c r="H41" s="10"/>
      <c r="I41" s="20"/>
      <c r="J41" s="10"/>
      <c r="K41" s="1"/>
    </row>
    <row r="42" customFormat="false" ht="15" hidden="false" customHeight="false" outlineLevel="0" collapsed="false">
      <c r="A42" s="1"/>
      <c r="B42" s="15"/>
      <c r="C42" s="15"/>
      <c r="D42" s="15"/>
      <c r="E42" s="15"/>
      <c r="F42" s="15"/>
      <c r="G42" s="17" t="str">
        <f aca="false">IF(D42="","",IF(OR(D42="WhatsApp",D42="Apagado"),"No","Sí"))</f>
        <v/>
      </c>
      <c r="H42" s="15"/>
      <c r="I42" s="21"/>
      <c r="J42" s="15"/>
      <c r="K42" s="1"/>
    </row>
    <row r="43" customFormat="false" ht="15" hidden="false" customHeight="false" outlineLevel="0" collapsed="false">
      <c r="A43" s="1"/>
      <c r="B43" s="10"/>
      <c r="C43" s="10"/>
      <c r="D43" s="10"/>
      <c r="E43" s="10"/>
      <c r="F43" s="10"/>
      <c r="G43" s="12" t="str">
        <f aca="false">IF(D43="","",IF(OR(D43="WhatsApp",D43="Apagado"),"No","Sí"))</f>
        <v/>
      </c>
      <c r="H43" s="10"/>
      <c r="I43" s="20"/>
      <c r="J43" s="10"/>
      <c r="K43" s="1"/>
    </row>
    <row r="44" customFormat="false" ht="15" hidden="false" customHeight="false" outlineLevel="0" collapsed="false">
      <c r="A44" s="1"/>
      <c r="B44" s="15"/>
      <c r="C44" s="15"/>
      <c r="D44" s="15"/>
      <c r="E44" s="15"/>
      <c r="F44" s="15"/>
      <c r="G44" s="17" t="str">
        <f aca="false">IF(D44="","",IF(OR(D44="WhatsApp",D44="Apagado"),"No","Sí"))</f>
        <v/>
      </c>
      <c r="H44" s="15"/>
      <c r="I44" s="21"/>
      <c r="J44" s="15"/>
      <c r="K44" s="1"/>
    </row>
    <row r="45" customFormat="false" ht="15" hidden="false" customHeight="false" outlineLevel="0" collapsed="false">
      <c r="A45" s="1"/>
      <c r="B45" s="10"/>
      <c r="C45" s="10"/>
      <c r="D45" s="10"/>
      <c r="E45" s="10"/>
      <c r="F45" s="10"/>
      <c r="G45" s="12" t="str">
        <f aca="false">IF(D45="","",IF(OR(D45="WhatsApp",D45="Apagado"),"No","Sí"))</f>
        <v/>
      </c>
      <c r="H45" s="10"/>
      <c r="I45" s="20"/>
      <c r="J45" s="10"/>
      <c r="K45" s="1"/>
    </row>
    <row r="46" customFormat="false" ht="15" hidden="false" customHeight="false" outlineLevel="0" collapsed="false">
      <c r="A46" s="1"/>
      <c r="B46" s="15"/>
      <c r="C46" s="15"/>
      <c r="D46" s="15"/>
      <c r="E46" s="15"/>
      <c r="F46" s="15"/>
      <c r="G46" s="17" t="str">
        <f aca="false">IF(D46="","",IF(OR(D46="WhatsApp",D46="Apagado"),"No","Sí"))</f>
        <v/>
      </c>
      <c r="H46" s="15"/>
      <c r="I46" s="21"/>
      <c r="J46" s="15"/>
      <c r="K46" s="1"/>
    </row>
    <row r="47" customFormat="false" ht="15" hidden="false" customHeight="false" outlineLevel="0" collapsed="false">
      <c r="A47" s="1"/>
      <c r="B47" s="10"/>
      <c r="C47" s="10"/>
      <c r="D47" s="10"/>
      <c r="E47" s="10"/>
      <c r="F47" s="10"/>
      <c r="G47" s="12" t="str">
        <f aca="false">IF(D47="","",IF(OR(D47="WhatsApp",D47="Apagado"),"No","Sí"))</f>
        <v/>
      </c>
      <c r="H47" s="10"/>
      <c r="I47" s="20"/>
      <c r="J47" s="10"/>
      <c r="K47" s="1"/>
    </row>
    <row r="48" customFormat="false" ht="15" hidden="false" customHeight="false" outlineLevel="0" collapsed="false">
      <c r="A48" s="1"/>
      <c r="B48" s="15"/>
      <c r="C48" s="15"/>
      <c r="D48" s="15"/>
      <c r="E48" s="15"/>
      <c r="F48" s="15"/>
      <c r="G48" s="17" t="str">
        <f aca="false">IF(D48="","",IF(OR(D48="WhatsApp",D48="Apagado"),"No","Sí"))</f>
        <v/>
      </c>
      <c r="H48" s="15"/>
      <c r="I48" s="21"/>
      <c r="J48" s="15"/>
      <c r="K48" s="1"/>
    </row>
    <row r="49" customFormat="false" ht="15" hidden="false" customHeight="false" outlineLevel="0" collapsed="false">
      <c r="A49" s="1"/>
      <c r="B49" s="10"/>
      <c r="C49" s="10"/>
      <c r="D49" s="10"/>
      <c r="E49" s="10"/>
      <c r="F49" s="10"/>
      <c r="G49" s="12" t="str">
        <f aca="false">IF(D49="","",IF(OR(D49="WhatsApp",D49="Apagado"),"No","Sí"))</f>
        <v/>
      </c>
      <c r="H49" s="10"/>
      <c r="I49" s="20"/>
      <c r="J49" s="10"/>
      <c r="K49" s="1"/>
    </row>
    <row r="50" customFormat="false" ht="15" hidden="false" customHeight="false" outlineLevel="0" collapsed="false">
      <c r="A50" s="1"/>
      <c r="B50" s="15"/>
      <c r="C50" s="15"/>
      <c r="D50" s="15"/>
      <c r="E50" s="15"/>
      <c r="F50" s="15"/>
      <c r="G50" s="17" t="str">
        <f aca="false">IF(D50="","",IF(OR(D50="WhatsApp",D50="Apagado"),"No","Sí"))</f>
        <v/>
      </c>
      <c r="H50" s="15"/>
      <c r="I50" s="21"/>
      <c r="J50" s="15"/>
      <c r="K50" s="1"/>
    </row>
    <row r="51" customFormat="false" ht="15" hidden="false" customHeight="false" outlineLevel="0" collapsed="false">
      <c r="A51" s="1"/>
      <c r="B51" s="10"/>
      <c r="C51" s="10"/>
      <c r="D51" s="10"/>
      <c r="E51" s="10"/>
      <c r="F51" s="10"/>
      <c r="G51" s="12" t="str">
        <f aca="false">IF(D51="","",IF(OR(D51="WhatsApp",D51="Apagado"),"No","Sí"))</f>
        <v/>
      </c>
      <c r="H51" s="10"/>
      <c r="I51" s="20"/>
      <c r="J51" s="10"/>
      <c r="K51" s="1"/>
    </row>
    <row r="52" customFormat="false" ht="15" hidden="false" customHeight="false" outlineLevel="0" collapsed="false">
      <c r="A52" s="1"/>
      <c r="B52" s="15"/>
      <c r="C52" s="15"/>
      <c r="D52" s="15"/>
      <c r="E52" s="15"/>
      <c r="F52" s="15"/>
      <c r="G52" s="17" t="str">
        <f aca="false">IF(D52="","",IF(OR(D52="WhatsApp",D52="Apagado"),"No","Sí"))</f>
        <v/>
      </c>
      <c r="H52" s="15"/>
      <c r="I52" s="21"/>
      <c r="J52" s="15"/>
      <c r="K52" s="1"/>
    </row>
    <row r="53" customFormat="false" ht="15" hidden="false" customHeight="false" outlineLevel="0" collapsed="false">
      <c r="A53" s="1"/>
      <c r="B53" s="10"/>
      <c r="C53" s="10"/>
      <c r="D53" s="10"/>
      <c r="E53" s="10"/>
      <c r="F53" s="10"/>
      <c r="G53" s="12" t="str">
        <f aca="false">IF(D53="","",IF(OR(D53="WhatsApp",D53="Apagado"),"No","Sí"))</f>
        <v/>
      </c>
      <c r="H53" s="10"/>
      <c r="I53" s="20"/>
      <c r="J53" s="10"/>
      <c r="K53" s="1"/>
    </row>
    <row r="54" customFormat="false" ht="15" hidden="false" customHeight="false" outlineLevel="0" collapsed="false">
      <c r="A54" s="1"/>
      <c r="B54" s="15"/>
      <c r="C54" s="15"/>
      <c r="D54" s="15"/>
      <c r="E54" s="15"/>
      <c r="F54" s="15"/>
      <c r="G54" s="17" t="str">
        <f aca="false">IF(D54="","",IF(OR(D54="WhatsApp",D54="Apagado"),"No","Sí"))</f>
        <v/>
      </c>
      <c r="H54" s="15"/>
      <c r="I54" s="21"/>
      <c r="J54" s="15"/>
      <c r="K54" s="1"/>
    </row>
    <row r="55" customFormat="false" ht="15" hidden="false" customHeight="false" outlineLevel="0" collapsed="false">
      <c r="A55" s="1"/>
      <c r="B55" s="10"/>
      <c r="C55" s="10"/>
      <c r="D55" s="10"/>
      <c r="E55" s="10"/>
      <c r="F55" s="10"/>
      <c r="G55" s="12" t="str">
        <f aca="false">IF(D55="","",IF(OR(D55="WhatsApp",D55="Apagado"),"No","Sí"))</f>
        <v/>
      </c>
      <c r="H55" s="10"/>
      <c r="I55" s="20"/>
      <c r="J55" s="10"/>
      <c r="K55" s="1"/>
    </row>
    <row r="56" customFormat="false" ht="15" hidden="false" customHeight="false" outlineLevel="0" collapsed="false">
      <c r="A56" s="1"/>
      <c r="B56" s="15"/>
      <c r="C56" s="15"/>
      <c r="D56" s="15"/>
      <c r="E56" s="15"/>
      <c r="F56" s="15"/>
      <c r="G56" s="17" t="str">
        <f aca="false">IF(D56="","",IF(OR(D56="WhatsApp",D56="Apagado"),"No","Sí"))</f>
        <v/>
      </c>
      <c r="H56" s="15"/>
      <c r="I56" s="21"/>
      <c r="J56" s="15"/>
      <c r="K56" s="1"/>
    </row>
    <row r="57" customFormat="false" ht="15" hidden="false" customHeight="false" outlineLevel="0" collapsed="false">
      <c r="A57" s="1"/>
      <c r="B57" s="10"/>
      <c r="C57" s="10"/>
      <c r="D57" s="10"/>
      <c r="E57" s="10"/>
      <c r="F57" s="10"/>
      <c r="G57" s="12" t="str">
        <f aca="false">IF(D57="","",IF(OR(D57="WhatsApp",D57="Apagado"),"No","Sí"))</f>
        <v/>
      </c>
      <c r="H57" s="10"/>
      <c r="I57" s="20"/>
      <c r="J57" s="10"/>
      <c r="K57" s="1"/>
    </row>
    <row r="58" customFormat="false" ht="15" hidden="false" customHeight="false" outlineLevel="0" collapsed="false">
      <c r="A58" s="1"/>
      <c r="B58" s="15"/>
      <c r="C58" s="15"/>
      <c r="D58" s="15"/>
      <c r="E58" s="15"/>
      <c r="F58" s="15"/>
      <c r="G58" s="17" t="str">
        <f aca="false">IF(D58="","",IF(OR(D58="WhatsApp",D58="Apagado"),"No","Sí"))</f>
        <v/>
      </c>
      <c r="H58" s="15"/>
      <c r="I58" s="21"/>
      <c r="J58" s="15"/>
      <c r="K58" s="1"/>
    </row>
    <row r="59" customFormat="false" ht="15" hidden="false" customHeight="false" outlineLevel="0" collapsed="false">
      <c r="A59" s="1"/>
      <c r="B59" s="10"/>
      <c r="C59" s="10"/>
      <c r="D59" s="10"/>
      <c r="E59" s="10"/>
      <c r="F59" s="10"/>
      <c r="G59" s="12" t="str">
        <f aca="false">IF(D59="","",IF(OR(D59="WhatsApp",D59="Apagado"),"No","Sí"))</f>
        <v/>
      </c>
      <c r="H59" s="10"/>
      <c r="I59" s="20"/>
      <c r="J59" s="10"/>
      <c r="K59" s="1"/>
    </row>
    <row r="60" customFormat="false" ht="15" hidden="false" customHeight="false" outlineLevel="0" collapsed="false">
      <c r="A60" s="1"/>
      <c r="B60" s="15"/>
      <c r="C60" s="15"/>
      <c r="D60" s="15"/>
      <c r="E60" s="15"/>
      <c r="F60" s="15"/>
      <c r="G60" s="17" t="str">
        <f aca="false">IF(D60="","",IF(OR(D60="WhatsApp",D60="Apagado"),"No","Sí"))</f>
        <v/>
      </c>
      <c r="H60" s="15"/>
      <c r="I60" s="21"/>
      <c r="J60" s="15"/>
      <c r="K60" s="1"/>
    </row>
    <row r="61" customFormat="false" ht="15" hidden="false" customHeight="false" outlineLevel="0" collapsed="false">
      <c r="A61" s="1"/>
      <c r="B61" s="10"/>
      <c r="C61" s="10"/>
      <c r="D61" s="10"/>
      <c r="E61" s="10"/>
      <c r="F61" s="10"/>
      <c r="G61" s="12" t="str">
        <f aca="false">IF(D61="","",IF(OR(D61="WhatsApp",D61="Apagado"),"No","Sí"))</f>
        <v/>
      </c>
      <c r="H61" s="10"/>
      <c r="I61" s="20"/>
      <c r="J61" s="10"/>
      <c r="K61" s="1"/>
    </row>
    <row r="62" customFormat="false" ht="15" hidden="false" customHeight="false" outlineLevel="0" collapsed="false">
      <c r="A62" s="1"/>
      <c r="B62" s="15"/>
      <c r="C62" s="15"/>
      <c r="D62" s="15"/>
      <c r="E62" s="15"/>
      <c r="F62" s="15"/>
      <c r="G62" s="17" t="str">
        <f aca="false">IF(D62="","",IF(OR(D62="WhatsApp",D62="Apagado"),"No","Sí"))</f>
        <v/>
      </c>
      <c r="H62" s="15"/>
      <c r="I62" s="21"/>
      <c r="J62" s="15"/>
      <c r="K62" s="1"/>
    </row>
    <row r="63" customFormat="false" ht="15" hidden="false" customHeight="false" outlineLevel="0" collapsed="false">
      <c r="A63" s="1"/>
      <c r="B63" s="10"/>
      <c r="C63" s="10"/>
      <c r="D63" s="10"/>
      <c r="E63" s="10"/>
      <c r="F63" s="10"/>
      <c r="G63" s="12" t="str">
        <f aca="false">IF(D63="","",IF(OR(D63="WhatsApp",D63="Apagado"),"No","Sí"))</f>
        <v/>
      </c>
      <c r="H63" s="10"/>
      <c r="I63" s="20"/>
      <c r="J63" s="10"/>
      <c r="K63" s="1"/>
    </row>
    <row r="64" customFormat="false" ht="15" hidden="false" customHeight="false" outlineLevel="0" collapsed="false">
      <c r="A64" s="1"/>
      <c r="B64" s="15"/>
      <c r="C64" s="15"/>
      <c r="D64" s="15"/>
      <c r="E64" s="15"/>
      <c r="F64" s="15"/>
      <c r="G64" s="17" t="str">
        <f aca="false">IF(D64="","",IF(OR(D64="WhatsApp",D64="Apagado"),"No","Sí"))</f>
        <v/>
      </c>
      <c r="H64" s="15"/>
      <c r="I64" s="21"/>
      <c r="J64" s="15"/>
      <c r="K64" s="1"/>
    </row>
    <row r="65" customFormat="false" ht="15" hidden="false" customHeight="false" outlineLevel="0" collapsed="false">
      <c r="A65" s="1"/>
      <c r="B65" s="10"/>
      <c r="C65" s="10"/>
      <c r="D65" s="10"/>
      <c r="E65" s="10"/>
      <c r="F65" s="10"/>
      <c r="G65" s="12" t="str">
        <f aca="false">IF(D65="","",IF(OR(D65="WhatsApp",D65="Apagado"),"No","Sí"))</f>
        <v/>
      </c>
      <c r="H65" s="10"/>
      <c r="I65" s="20"/>
      <c r="J65" s="10"/>
      <c r="K65" s="1"/>
    </row>
    <row r="66" customFormat="false" ht="15" hidden="false" customHeight="false" outlineLevel="0" collapsed="false">
      <c r="A66" s="1"/>
      <c r="B66" s="15"/>
      <c r="C66" s="15"/>
      <c r="D66" s="15"/>
      <c r="E66" s="15"/>
      <c r="F66" s="15"/>
      <c r="G66" s="17" t="str">
        <f aca="false">IF(D66="","",IF(OR(D66="WhatsApp",D66="Apagado"),"No","Sí"))</f>
        <v/>
      </c>
      <c r="H66" s="15"/>
      <c r="I66" s="21"/>
      <c r="J66" s="15"/>
      <c r="K66" s="1"/>
    </row>
    <row r="67" customFormat="false" ht="15" hidden="false" customHeight="false" outlineLevel="0" collapsed="false">
      <c r="A67" s="1"/>
      <c r="B67" s="10"/>
      <c r="C67" s="10"/>
      <c r="D67" s="10"/>
      <c r="E67" s="10"/>
      <c r="F67" s="10"/>
      <c r="G67" s="12" t="str">
        <f aca="false">IF(D67="","",IF(OR(D67="WhatsApp",D67="Apagado"),"No","Sí"))</f>
        <v/>
      </c>
      <c r="H67" s="10"/>
      <c r="I67" s="20"/>
      <c r="J67" s="10"/>
      <c r="K67" s="1"/>
    </row>
    <row r="68" customFormat="false" ht="15" hidden="false" customHeight="false" outlineLevel="0" collapsed="false">
      <c r="A68" s="1"/>
      <c r="B68" s="15"/>
      <c r="C68" s="15"/>
      <c r="D68" s="15"/>
      <c r="E68" s="15"/>
      <c r="F68" s="15"/>
      <c r="G68" s="17" t="str">
        <f aca="false">IF(D68="","",IF(OR(D68="WhatsApp",D68="Apagado"),"No","Sí"))</f>
        <v/>
      </c>
      <c r="H68" s="15"/>
      <c r="I68" s="21"/>
      <c r="J68" s="15"/>
      <c r="K68" s="1"/>
    </row>
    <row r="69" customFormat="false" ht="15" hidden="false" customHeight="false" outlineLevel="0" collapsed="false">
      <c r="A69" s="1"/>
      <c r="B69" s="10"/>
      <c r="C69" s="10"/>
      <c r="D69" s="10"/>
      <c r="E69" s="10"/>
      <c r="F69" s="10"/>
      <c r="G69" s="12" t="str">
        <f aca="false">IF(D69="","",IF(OR(D69="WhatsApp",D69="Apagado"),"No","Sí"))</f>
        <v/>
      </c>
      <c r="H69" s="10"/>
      <c r="I69" s="20"/>
      <c r="J69" s="10"/>
      <c r="K69" s="1"/>
    </row>
    <row r="70" customFormat="false" ht="15" hidden="false" customHeight="false" outlineLevel="0" collapsed="false">
      <c r="A70" s="1"/>
      <c r="B70" s="15"/>
      <c r="C70" s="15"/>
      <c r="D70" s="15"/>
      <c r="E70" s="15"/>
      <c r="F70" s="15"/>
      <c r="G70" s="17" t="str">
        <f aca="false">IF(D70="","",IF(OR(D70="WhatsApp",D70="Apagado"),"No","Sí"))</f>
        <v/>
      </c>
      <c r="H70" s="15"/>
      <c r="I70" s="21"/>
      <c r="J70" s="15"/>
      <c r="K70" s="1"/>
    </row>
    <row r="71" customFormat="false" ht="15" hidden="false" customHeight="false" outlineLevel="0" collapsed="false">
      <c r="A71" s="1"/>
      <c r="B71" s="10"/>
      <c r="C71" s="10"/>
      <c r="D71" s="10"/>
      <c r="E71" s="10"/>
      <c r="F71" s="10"/>
      <c r="G71" s="12" t="str">
        <f aca="false">IF(D71="","",IF(OR(D71="WhatsApp",D71="Apagado"),"No","Sí"))</f>
        <v/>
      </c>
      <c r="H71" s="10"/>
      <c r="I71" s="20"/>
      <c r="J71" s="10"/>
      <c r="K71" s="1"/>
    </row>
    <row r="72" customFormat="false" ht="15" hidden="false" customHeight="false" outlineLevel="0" collapsed="false">
      <c r="A72" s="1"/>
      <c r="B72" s="15"/>
      <c r="C72" s="15"/>
      <c r="D72" s="15"/>
      <c r="E72" s="15"/>
      <c r="F72" s="15"/>
      <c r="G72" s="17" t="str">
        <f aca="false">IF(D72="","",IF(OR(D72="WhatsApp",D72="Apagado"),"No","Sí"))</f>
        <v/>
      </c>
      <c r="H72" s="15"/>
      <c r="I72" s="21"/>
      <c r="J72" s="15"/>
      <c r="K72" s="1"/>
    </row>
    <row r="73" customFormat="false" ht="15" hidden="false" customHeight="false" outlineLevel="0" collapsed="false">
      <c r="A73" s="1"/>
      <c r="B73" s="10"/>
      <c r="C73" s="10"/>
      <c r="D73" s="10"/>
      <c r="E73" s="10"/>
      <c r="F73" s="10"/>
      <c r="G73" s="12" t="str">
        <f aca="false">IF(D73="","",IF(OR(D73="WhatsApp",D73="Apagado"),"No","Sí"))</f>
        <v/>
      </c>
      <c r="H73" s="10"/>
      <c r="I73" s="20"/>
      <c r="J73" s="10"/>
      <c r="K73" s="1"/>
    </row>
    <row r="74" customFormat="false" ht="15" hidden="false" customHeight="false" outlineLevel="0" collapsed="false">
      <c r="A74" s="1"/>
      <c r="B74" s="15"/>
      <c r="C74" s="15"/>
      <c r="D74" s="15"/>
      <c r="E74" s="15"/>
      <c r="F74" s="15"/>
      <c r="G74" s="17" t="str">
        <f aca="false">IF(D74="","",IF(OR(D74="WhatsApp",D74="Apagado"),"No","Sí"))</f>
        <v/>
      </c>
      <c r="H74" s="15"/>
      <c r="I74" s="21"/>
      <c r="J74" s="15"/>
      <c r="K74" s="1"/>
    </row>
    <row r="75" customFormat="false" ht="15" hidden="false" customHeight="false" outlineLevel="0" collapsed="false">
      <c r="A75" s="1"/>
      <c r="B75" s="10"/>
      <c r="C75" s="10"/>
      <c r="D75" s="10"/>
      <c r="E75" s="10"/>
      <c r="F75" s="10"/>
      <c r="G75" s="12" t="str">
        <f aca="false">IF(D75="","",IF(OR(D75="WhatsApp",D75="Apagado"),"No","Sí"))</f>
        <v/>
      </c>
      <c r="H75" s="10"/>
      <c r="I75" s="20"/>
      <c r="J75" s="10"/>
      <c r="K75" s="1"/>
    </row>
    <row r="76" customFormat="false" ht="15" hidden="false" customHeight="false" outlineLevel="0" collapsed="false">
      <c r="A76" s="1"/>
      <c r="B76" s="15"/>
      <c r="C76" s="15"/>
      <c r="D76" s="15"/>
      <c r="E76" s="15"/>
      <c r="F76" s="15"/>
      <c r="G76" s="17" t="str">
        <f aca="false">IF(D76="","",IF(OR(D76="WhatsApp",D76="Apagado"),"No","Sí"))</f>
        <v/>
      </c>
      <c r="H76" s="15"/>
      <c r="I76" s="21"/>
      <c r="J76" s="15"/>
      <c r="K76" s="1"/>
    </row>
    <row r="77" customFormat="false" ht="15" hidden="false" customHeight="false" outlineLevel="0" collapsed="false">
      <c r="A77" s="1"/>
      <c r="B77" s="10"/>
      <c r="C77" s="10"/>
      <c r="D77" s="10"/>
      <c r="E77" s="10"/>
      <c r="F77" s="10"/>
      <c r="G77" s="12" t="str">
        <f aca="false">IF(D77="","",IF(OR(D77="WhatsApp",D77="Apagado"),"No","Sí"))</f>
        <v/>
      </c>
      <c r="H77" s="10"/>
      <c r="I77" s="20"/>
      <c r="J77" s="10"/>
      <c r="K77" s="1"/>
    </row>
    <row r="78" customFormat="false" ht="15" hidden="false" customHeight="false" outlineLevel="0" collapsed="false">
      <c r="A78" s="1"/>
      <c r="B78" s="15"/>
      <c r="C78" s="15"/>
      <c r="D78" s="15"/>
      <c r="E78" s="15"/>
      <c r="F78" s="15"/>
      <c r="G78" s="17" t="str">
        <f aca="false">IF(D78="","",IF(OR(D78="WhatsApp",D78="Apagado"),"No","Sí"))</f>
        <v/>
      </c>
      <c r="H78" s="15"/>
      <c r="I78" s="21"/>
      <c r="J78" s="15"/>
      <c r="K78" s="1"/>
    </row>
    <row r="79" customFormat="false" ht="15" hidden="false" customHeight="false" outlineLevel="0" collapsed="false">
      <c r="A79" s="1"/>
      <c r="B79" s="10"/>
      <c r="C79" s="10"/>
      <c r="D79" s="10"/>
      <c r="E79" s="10"/>
      <c r="F79" s="10"/>
      <c r="G79" s="12" t="str">
        <f aca="false">IF(D79="","",IF(OR(D79="WhatsApp",D79="Apagado"),"No","Sí"))</f>
        <v/>
      </c>
      <c r="H79" s="10"/>
      <c r="I79" s="20"/>
      <c r="J79" s="10"/>
      <c r="K79" s="1"/>
    </row>
    <row r="80" customFormat="false" ht="15" hidden="false" customHeight="false" outlineLevel="0" collapsed="false">
      <c r="A80" s="1"/>
      <c r="B80" s="15"/>
      <c r="C80" s="15"/>
      <c r="D80" s="15"/>
      <c r="E80" s="15"/>
      <c r="F80" s="15"/>
      <c r="G80" s="17" t="str">
        <f aca="false">IF(D80="","",IF(OR(D80="WhatsApp",D80="Apagado"),"No","Sí"))</f>
        <v/>
      </c>
      <c r="H80" s="15"/>
      <c r="I80" s="21"/>
      <c r="J80" s="15"/>
      <c r="K80" s="1"/>
    </row>
    <row r="81" customFormat="false" ht="15" hidden="false" customHeight="false" outlineLevel="0" collapsed="false">
      <c r="A81" s="1"/>
      <c r="B81" s="10"/>
      <c r="C81" s="10"/>
      <c r="D81" s="10"/>
      <c r="E81" s="10"/>
      <c r="F81" s="10"/>
      <c r="G81" s="12" t="str">
        <f aca="false">IF(D81="","",IF(OR(D81="WhatsApp",D81="Apagado"),"No","Sí"))</f>
        <v/>
      </c>
      <c r="H81" s="10"/>
      <c r="I81" s="20"/>
      <c r="J81" s="10"/>
      <c r="K81" s="1"/>
    </row>
    <row r="82" customFormat="false" ht="15" hidden="false" customHeight="false" outlineLevel="0" collapsed="false">
      <c r="A82" s="1"/>
      <c r="B82" s="15"/>
      <c r="C82" s="15"/>
      <c r="D82" s="15"/>
      <c r="E82" s="15"/>
      <c r="F82" s="15"/>
      <c r="G82" s="17" t="str">
        <f aca="false">IF(D82="","",IF(OR(D82="WhatsApp",D82="Apagado"),"No","Sí"))</f>
        <v/>
      </c>
      <c r="H82" s="15"/>
      <c r="I82" s="21"/>
      <c r="J82" s="15"/>
      <c r="K82" s="1"/>
    </row>
    <row r="83" customFormat="false" ht="15" hidden="false" customHeight="false" outlineLevel="0" collapsed="false">
      <c r="A83" s="1"/>
      <c r="B83" s="10"/>
      <c r="C83" s="10"/>
      <c r="D83" s="10"/>
      <c r="E83" s="10"/>
      <c r="F83" s="10"/>
      <c r="G83" s="12" t="str">
        <f aca="false">IF(D83="","",IF(OR(D83="WhatsApp",D83="Apagado"),"No","Sí"))</f>
        <v/>
      </c>
      <c r="H83" s="10"/>
      <c r="I83" s="20"/>
      <c r="J83" s="10"/>
      <c r="K83" s="1"/>
    </row>
    <row r="84" customFormat="false" ht="15" hidden="false" customHeight="false" outlineLevel="0" collapsed="false">
      <c r="A84" s="1"/>
      <c r="B84" s="15"/>
      <c r="C84" s="15"/>
      <c r="D84" s="15"/>
      <c r="E84" s="15"/>
      <c r="F84" s="15"/>
      <c r="G84" s="17" t="str">
        <f aca="false">IF(D84="","",IF(OR(D84="WhatsApp",D84="Apagado"),"No","Sí"))</f>
        <v/>
      </c>
      <c r="H84" s="15"/>
      <c r="I84" s="21"/>
      <c r="J84" s="15"/>
      <c r="K84" s="1"/>
    </row>
    <row r="85" customFormat="false" ht="15" hidden="false" customHeight="false" outlineLevel="0" collapsed="false">
      <c r="A85" s="1"/>
      <c r="B85" s="10"/>
      <c r="C85" s="10"/>
      <c r="D85" s="10"/>
      <c r="E85" s="10"/>
      <c r="F85" s="10"/>
      <c r="G85" s="12" t="str">
        <f aca="false">IF(D85="","",IF(OR(D85="WhatsApp",D85="Apagado"),"No","Sí"))</f>
        <v/>
      </c>
      <c r="H85" s="10"/>
      <c r="I85" s="20"/>
      <c r="J85" s="10"/>
      <c r="K85" s="1"/>
    </row>
    <row r="86" customFormat="false" ht="15" hidden="false" customHeight="false" outlineLevel="0" collapsed="false">
      <c r="A86" s="1"/>
      <c r="B86" s="15"/>
      <c r="C86" s="15"/>
      <c r="D86" s="15"/>
      <c r="E86" s="15"/>
      <c r="F86" s="15"/>
      <c r="G86" s="17" t="str">
        <f aca="false">IF(D86="","",IF(OR(D86="WhatsApp",D86="Apagado"),"No","Sí"))</f>
        <v/>
      </c>
      <c r="H86" s="15"/>
      <c r="I86" s="21"/>
      <c r="J86" s="15"/>
      <c r="K86" s="1"/>
    </row>
    <row r="87" customFormat="false" ht="15" hidden="false" customHeight="false" outlineLevel="0" collapsed="false">
      <c r="A87" s="1"/>
      <c r="B87" s="10"/>
      <c r="C87" s="10"/>
      <c r="D87" s="10"/>
      <c r="E87" s="10"/>
      <c r="F87" s="10"/>
      <c r="G87" s="12" t="str">
        <f aca="false">IF(D87="","",IF(OR(D87="WhatsApp",D87="Apagado"),"No","Sí"))</f>
        <v/>
      </c>
      <c r="H87" s="10"/>
      <c r="I87" s="20"/>
      <c r="J87" s="10"/>
      <c r="K87" s="1"/>
    </row>
    <row r="88" customFormat="false" ht="15" hidden="false" customHeight="false" outlineLevel="0" collapsed="false">
      <c r="A88" s="1"/>
      <c r="B88" s="15"/>
      <c r="C88" s="15"/>
      <c r="D88" s="15"/>
      <c r="E88" s="15"/>
      <c r="F88" s="15"/>
      <c r="G88" s="17" t="str">
        <f aca="false">IF(D88="","",IF(OR(D88="WhatsApp",D88="Apagado"),"No","Sí"))</f>
        <v/>
      </c>
      <c r="H88" s="15"/>
      <c r="I88" s="21"/>
      <c r="J88" s="15"/>
      <c r="K88" s="1"/>
    </row>
    <row r="89" customFormat="false" ht="15" hidden="false" customHeight="false" outlineLevel="0" collapsed="false">
      <c r="A89" s="1"/>
      <c r="B89" s="10"/>
      <c r="C89" s="10"/>
      <c r="D89" s="10"/>
      <c r="E89" s="10"/>
      <c r="F89" s="10"/>
      <c r="G89" s="12" t="str">
        <f aca="false">IF(D89="","",IF(OR(D89="WhatsApp",D89="Apagado"),"No","Sí"))</f>
        <v/>
      </c>
      <c r="H89" s="10"/>
      <c r="I89" s="20"/>
      <c r="J89" s="10"/>
      <c r="K89" s="1"/>
    </row>
    <row r="90" customFormat="false" ht="15" hidden="false" customHeight="false" outlineLevel="0" collapsed="false">
      <c r="A90" s="1"/>
      <c r="B90" s="15"/>
      <c r="C90" s="15"/>
      <c r="D90" s="15"/>
      <c r="E90" s="15"/>
      <c r="F90" s="15"/>
      <c r="G90" s="17" t="str">
        <f aca="false">IF(D90="","",IF(OR(D90="WhatsApp",D90="Apagado"),"No","Sí"))</f>
        <v/>
      </c>
      <c r="H90" s="15"/>
      <c r="I90" s="21"/>
      <c r="J90" s="15"/>
      <c r="K90" s="1"/>
    </row>
    <row r="91" customFormat="false" ht="15" hidden="false" customHeight="false" outlineLevel="0" collapsed="false">
      <c r="A91" s="1"/>
      <c r="B91" s="10"/>
      <c r="C91" s="10"/>
      <c r="D91" s="10"/>
      <c r="E91" s="10"/>
      <c r="F91" s="10"/>
      <c r="G91" s="12" t="str">
        <f aca="false">IF(D91="","",IF(OR(D91="WhatsApp",D91="Apagado"),"No","Sí"))</f>
        <v/>
      </c>
      <c r="H91" s="10"/>
      <c r="I91" s="20"/>
      <c r="J91" s="10"/>
      <c r="K91" s="1"/>
    </row>
    <row r="92" customFormat="false" ht="15" hidden="false" customHeight="false" outlineLevel="0" collapsed="false">
      <c r="A92" s="1"/>
      <c r="B92" s="15"/>
      <c r="C92" s="15"/>
      <c r="D92" s="15"/>
      <c r="E92" s="15"/>
      <c r="F92" s="15"/>
      <c r="G92" s="17" t="str">
        <f aca="false">IF(D92="","",IF(OR(D92="WhatsApp",D92="Apagado"),"No","Sí"))</f>
        <v/>
      </c>
      <c r="H92" s="15"/>
      <c r="I92" s="21"/>
      <c r="J92" s="15"/>
      <c r="K92" s="1"/>
    </row>
    <row r="93" customFormat="false" ht="15" hidden="false" customHeight="false" outlineLevel="0" collapsed="false">
      <c r="A93" s="1"/>
      <c r="B93" s="10"/>
      <c r="C93" s="10"/>
      <c r="D93" s="10"/>
      <c r="E93" s="10"/>
      <c r="F93" s="10"/>
      <c r="G93" s="12" t="str">
        <f aca="false">IF(D93="","",IF(OR(D93="WhatsApp",D93="Apagado"),"No","Sí"))</f>
        <v/>
      </c>
      <c r="H93" s="10"/>
      <c r="I93" s="20"/>
      <c r="J93" s="10"/>
      <c r="K93" s="1"/>
    </row>
    <row r="94" customFormat="false" ht="15" hidden="false" customHeight="false" outlineLevel="0" collapsed="false">
      <c r="A94" s="1"/>
      <c r="B94" s="15"/>
      <c r="C94" s="15"/>
      <c r="D94" s="15"/>
      <c r="E94" s="15"/>
      <c r="F94" s="15"/>
      <c r="G94" s="17" t="str">
        <f aca="false">IF(D94="","",IF(OR(D94="WhatsApp",D94="Apagado"),"No","Sí"))</f>
        <v/>
      </c>
      <c r="H94" s="15"/>
      <c r="I94" s="21"/>
      <c r="J94" s="15"/>
      <c r="K94" s="1"/>
    </row>
    <row r="95" customFormat="false" ht="15" hidden="false" customHeight="false" outlineLevel="0" collapsed="false">
      <c r="A95" s="1"/>
      <c r="B95" s="10"/>
      <c r="C95" s="10"/>
      <c r="D95" s="10"/>
      <c r="E95" s="10"/>
      <c r="F95" s="10"/>
      <c r="G95" s="12" t="str">
        <f aca="false">IF(D95="","",IF(OR(D95="WhatsApp",D95="Apagado"),"No","Sí"))</f>
        <v/>
      </c>
      <c r="H95" s="10"/>
      <c r="I95" s="20"/>
      <c r="J95" s="10"/>
      <c r="K95" s="1"/>
    </row>
    <row r="96" customFormat="false" ht="15" hidden="false" customHeight="false" outlineLevel="0" collapsed="false">
      <c r="A96" s="1"/>
      <c r="B96" s="15"/>
      <c r="C96" s="15"/>
      <c r="D96" s="15"/>
      <c r="E96" s="15"/>
      <c r="F96" s="15"/>
      <c r="G96" s="17" t="str">
        <f aca="false">IF(D96="","",IF(OR(D96="WhatsApp",D96="Apagado"),"No","Sí"))</f>
        <v/>
      </c>
      <c r="H96" s="15"/>
      <c r="I96" s="21"/>
      <c r="J96" s="15"/>
      <c r="K96" s="1"/>
    </row>
    <row r="97" customFormat="false" ht="15" hidden="false" customHeight="false" outlineLevel="0" collapsed="false">
      <c r="A97" s="1"/>
      <c r="B97" s="10"/>
      <c r="C97" s="10"/>
      <c r="D97" s="10"/>
      <c r="E97" s="10"/>
      <c r="F97" s="10"/>
      <c r="G97" s="12" t="str">
        <f aca="false">IF(D97="","",IF(OR(D97="WhatsApp",D97="Apagado"),"No","Sí"))</f>
        <v/>
      </c>
      <c r="H97" s="10"/>
      <c r="I97" s="20"/>
      <c r="J97" s="10"/>
      <c r="K97" s="1"/>
    </row>
    <row r="98" customFormat="false" ht="15" hidden="false" customHeight="false" outlineLevel="0" collapsed="false">
      <c r="A98" s="1"/>
      <c r="B98" s="15"/>
      <c r="C98" s="15"/>
      <c r="D98" s="15"/>
      <c r="E98" s="15"/>
      <c r="F98" s="15"/>
      <c r="G98" s="17" t="str">
        <f aca="false">IF(D98="","",IF(OR(D98="WhatsApp",D98="Apagado"),"No","Sí"))</f>
        <v/>
      </c>
      <c r="H98" s="15"/>
      <c r="I98" s="21"/>
      <c r="J98" s="15"/>
      <c r="K98" s="1"/>
    </row>
    <row r="99" customFormat="false" ht="15" hidden="false" customHeight="false" outlineLevel="0" collapsed="false">
      <c r="A99" s="1"/>
      <c r="B99" s="10"/>
      <c r="C99" s="10"/>
      <c r="D99" s="10"/>
      <c r="E99" s="10"/>
      <c r="F99" s="10"/>
      <c r="G99" s="12" t="str">
        <f aca="false">IF(D99="","",IF(OR(D99="WhatsApp",D99="Apagado"),"No","Sí"))</f>
        <v/>
      </c>
      <c r="H99" s="10"/>
      <c r="I99" s="20"/>
      <c r="J99" s="10"/>
      <c r="K99" s="1"/>
    </row>
    <row r="100" customFormat="false" ht="15" hidden="false" customHeight="false" outlineLevel="0" collapsed="false">
      <c r="A100" s="1"/>
      <c r="B100" s="15"/>
      <c r="C100" s="15"/>
      <c r="D100" s="15"/>
      <c r="E100" s="15"/>
      <c r="F100" s="15"/>
      <c r="G100" s="17" t="str">
        <f aca="false">IF(D100="","",IF(OR(D100="WhatsApp",D100="Apagado"),"No","Sí"))</f>
        <v/>
      </c>
      <c r="H100" s="15"/>
      <c r="I100" s="21"/>
      <c r="J100" s="15"/>
      <c r="K100" s="1"/>
    </row>
    <row r="101" customFormat="false" ht="15" hidden="false" customHeight="false" outlineLevel="0" collapsed="false">
      <c r="A101" s="1"/>
      <c r="B101" s="10"/>
      <c r="C101" s="10"/>
      <c r="D101" s="10"/>
      <c r="E101" s="10"/>
      <c r="F101" s="10"/>
      <c r="G101" s="12" t="str">
        <f aca="false">IF(D101="","",IF(OR(D101="WhatsApp",D101="Apagado"),"No","Sí"))</f>
        <v/>
      </c>
      <c r="H101" s="10"/>
      <c r="I101" s="20"/>
      <c r="J101" s="10"/>
      <c r="K101" s="1"/>
    </row>
    <row r="102" customFormat="false" ht="15" hidden="false" customHeight="false" outlineLevel="0" collapsed="false">
      <c r="A102" s="1"/>
      <c r="B102" s="15"/>
      <c r="C102" s="15"/>
      <c r="D102" s="15"/>
      <c r="E102" s="15"/>
      <c r="F102" s="15"/>
      <c r="G102" s="17" t="str">
        <f aca="false">IF(D102="","",IF(OR(D102="WhatsApp",D102="Apagado"),"No","Sí"))</f>
        <v/>
      </c>
      <c r="H102" s="15"/>
      <c r="I102" s="21"/>
      <c r="J102" s="15"/>
      <c r="K102" s="1"/>
    </row>
    <row r="103" customFormat="false" ht="15" hidden="false" customHeight="false" outlineLevel="0" collapsed="false">
      <c r="A103" s="1"/>
      <c r="B103" s="10"/>
      <c r="C103" s="10"/>
      <c r="D103" s="10"/>
      <c r="E103" s="10"/>
      <c r="F103" s="10"/>
      <c r="G103" s="12" t="str">
        <f aca="false">IF(D103="","",IF(OR(D103="WhatsApp",D103="Apagado"),"No","Sí"))</f>
        <v/>
      </c>
      <c r="H103" s="10"/>
      <c r="I103" s="20"/>
      <c r="J103" s="10"/>
      <c r="K103" s="1"/>
    </row>
    <row r="104" customFormat="false" ht="15" hidden="false" customHeight="false" outlineLevel="0" collapsed="false">
      <c r="A104" s="1"/>
      <c r="B104" s="15"/>
      <c r="C104" s="15"/>
      <c r="D104" s="15"/>
      <c r="E104" s="15"/>
      <c r="F104" s="15"/>
      <c r="G104" s="17" t="str">
        <f aca="false">IF(D104="","",IF(OR(D104="WhatsApp",D104="Apagado"),"No","Sí"))</f>
        <v/>
      </c>
      <c r="H104" s="15"/>
      <c r="I104" s="21"/>
      <c r="J104" s="15"/>
      <c r="K104" s="1"/>
    </row>
    <row r="105" customFormat="false" ht="15" hidden="false" customHeight="false" outlineLevel="0" collapsed="false">
      <c r="A105" s="1"/>
      <c r="B105" s="10"/>
      <c r="C105" s="10"/>
      <c r="D105" s="10"/>
      <c r="E105" s="10"/>
      <c r="F105" s="10"/>
      <c r="G105" s="12" t="str">
        <f aca="false">IF(D105="","",IF(OR(D105="WhatsApp",D105="Apagado"),"No","Sí"))</f>
        <v/>
      </c>
      <c r="H105" s="10"/>
      <c r="I105" s="20"/>
      <c r="J105" s="10"/>
      <c r="K105" s="1"/>
    </row>
    <row r="106" customFormat="false" ht="15" hidden="false" customHeight="false" outlineLevel="0" collapsed="false">
      <c r="A106" s="1"/>
      <c r="B106" s="15"/>
      <c r="C106" s="15"/>
      <c r="D106" s="15"/>
      <c r="E106" s="15"/>
      <c r="F106" s="15"/>
      <c r="G106" s="17" t="str">
        <f aca="false">IF(D106="","",IF(OR(D106="WhatsApp",D106="Apagado"),"No","Sí"))</f>
        <v/>
      </c>
      <c r="H106" s="15"/>
      <c r="I106" s="21"/>
      <c r="J106" s="15"/>
      <c r="K106" s="1"/>
    </row>
    <row r="107" customFormat="false" ht="15" hidden="false" customHeight="false" outlineLevel="0" collapsed="false">
      <c r="A107" s="1"/>
      <c r="B107" s="10"/>
      <c r="C107" s="10"/>
      <c r="D107" s="10"/>
      <c r="E107" s="10"/>
      <c r="F107" s="10"/>
      <c r="G107" s="12" t="str">
        <f aca="false">IF(D107="","",IF(OR(D107="WhatsApp",D107="Apagado"),"No","Sí"))</f>
        <v/>
      </c>
      <c r="H107" s="10"/>
      <c r="I107" s="20"/>
      <c r="J107" s="10"/>
      <c r="K107" s="1"/>
    </row>
    <row r="108" customFormat="false" ht="15" hidden="false" customHeight="false" outlineLevel="0" collapsed="false">
      <c r="A108" s="1"/>
      <c r="B108" s="15"/>
      <c r="C108" s="15"/>
      <c r="D108" s="15"/>
      <c r="E108" s="15"/>
      <c r="F108" s="15"/>
      <c r="G108" s="17" t="str">
        <f aca="false">IF(D108="","",IF(OR(D108="WhatsApp",D108="Apagado"),"No","Sí"))</f>
        <v/>
      </c>
      <c r="H108" s="15"/>
      <c r="I108" s="21"/>
      <c r="J108" s="15"/>
      <c r="K108" s="1"/>
    </row>
    <row r="109" customFormat="false" ht="15" hidden="false" customHeight="false" outlineLevel="0" collapsed="false">
      <c r="A109" s="1"/>
      <c r="B109" s="10"/>
      <c r="C109" s="10"/>
      <c r="D109" s="10"/>
      <c r="E109" s="10"/>
      <c r="F109" s="10"/>
      <c r="G109" s="12" t="str">
        <f aca="false">IF(D109="","",IF(OR(D109="WhatsApp",D109="Apagado"),"No","Sí"))</f>
        <v/>
      </c>
      <c r="H109" s="10"/>
      <c r="I109" s="20"/>
      <c r="J109" s="10"/>
      <c r="K109" s="1"/>
    </row>
    <row r="110" customFormat="false" ht="15" hidden="false" customHeight="false" outlineLevel="0" collapsed="false">
      <c r="A110" s="1"/>
      <c r="B110" s="15"/>
      <c r="C110" s="15"/>
      <c r="D110" s="15"/>
      <c r="E110" s="15"/>
      <c r="F110" s="15"/>
      <c r="G110" s="17" t="str">
        <f aca="false">IF(D110="","",IF(OR(D110="WhatsApp",D110="Apagado"),"No","Sí"))</f>
        <v/>
      </c>
      <c r="H110" s="15"/>
      <c r="I110" s="21"/>
      <c r="J110" s="15"/>
      <c r="K110" s="1"/>
    </row>
    <row r="111" customFormat="false" ht="15" hidden="false" customHeight="false" outlineLevel="0" collapsed="false">
      <c r="A111" s="1"/>
      <c r="B111" s="10"/>
      <c r="C111" s="10"/>
      <c r="D111" s="10"/>
      <c r="E111" s="10"/>
      <c r="F111" s="10"/>
      <c r="G111" s="12" t="str">
        <f aca="false">IF(D111="","",IF(OR(D111="WhatsApp",D111="Apagado"),"No","Sí"))</f>
        <v/>
      </c>
      <c r="H111" s="10"/>
      <c r="I111" s="20"/>
      <c r="J111" s="10"/>
      <c r="K111" s="1"/>
    </row>
    <row r="112" customFormat="false" ht="15" hidden="false" customHeight="false" outlineLevel="0" collapsed="false">
      <c r="A112" s="1"/>
      <c r="B112" s="15"/>
      <c r="C112" s="15"/>
      <c r="D112" s="15"/>
      <c r="E112" s="15"/>
      <c r="F112" s="15"/>
      <c r="G112" s="17" t="str">
        <f aca="false">IF(D112="","",IF(OR(D112="WhatsApp",D112="Apagado"),"No","Sí"))</f>
        <v/>
      </c>
      <c r="H112" s="15"/>
      <c r="I112" s="21"/>
      <c r="J112" s="15"/>
      <c r="K112" s="1"/>
    </row>
    <row r="113" customFormat="false" ht="15" hidden="false" customHeight="false" outlineLevel="0" collapsed="false">
      <c r="A113" s="1"/>
      <c r="B113" s="10"/>
      <c r="C113" s="10"/>
      <c r="D113" s="10"/>
      <c r="E113" s="10"/>
      <c r="F113" s="10"/>
      <c r="G113" s="12" t="str">
        <f aca="false">IF(D113="","",IF(OR(D113="WhatsApp",D113="Apagado"),"No","Sí"))</f>
        <v/>
      </c>
      <c r="H113" s="10"/>
      <c r="I113" s="20"/>
      <c r="J113" s="10"/>
      <c r="K113" s="1"/>
    </row>
    <row r="114" customFormat="false" ht="15" hidden="false" customHeight="false" outlineLevel="0" collapsed="false">
      <c r="A114" s="1"/>
      <c r="B114" s="15"/>
      <c r="C114" s="15"/>
      <c r="D114" s="15"/>
      <c r="E114" s="15"/>
      <c r="F114" s="15"/>
      <c r="G114" s="17" t="str">
        <f aca="false">IF(D114="","",IF(OR(D114="WhatsApp",D114="Apagado"),"No","Sí"))</f>
        <v/>
      </c>
      <c r="H114" s="15"/>
      <c r="I114" s="21"/>
      <c r="J114" s="15"/>
      <c r="K114" s="1"/>
    </row>
    <row r="115" customFormat="false" ht="15" hidden="false" customHeight="false" outlineLevel="0" collapsed="false">
      <c r="A115" s="1"/>
      <c r="B115" s="10"/>
      <c r="C115" s="10"/>
      <c r="D115" s="10"/>
      <c r="E115" s="10"/>
      <c r="F115" s="10"/>
      <c r="G115" s="12" t="str">
        <f aca="false">IF(D115="","",IF(OR(D115="WhatsApp",D115="Apagado"),"No","Sí"))</f>
        <v/>
      </c>
      <c r="H115" s="10"/>
      <c r="I115" s="20"/>
      <c r="J115" s="10"/>
      <c r="K115" s="1"/>
    </row>
    <row r="116" customFormat="false" ht="15" hidden="false" customHeight="false" outlineLevel="0" collapsed="false">
      <c r="A116" s="1"/>
      <c r="B116" s="15"/>
      <c r="C116" s="15"/>
      <c r="D116" s="15"/>
      <c r="E116" s="15"/>
      <c r="F116" s="15"/>
      <c r="G116" s="17" t="str">
        <f aca="false">IF(D116="","",IF(OR(D116="WhatsApp",D116="Apagado"),"No","Sí"))</f>
        <v/>
      </c>
      <c r="H116" s="15"/>
      <c r="I116" s="21"/>
      <c r="J116" s="15"/>
      <c r="K116" s="1"/>
    </row>
    <row r="117" customFormat="false" ht="15" hidden="false" customHeight="false" outlineLevel="0" collapsed="false">
      <c r="A117" s="1"/>
      <c r="B117" s="10"/>
      <c r="C117" s="10"/>
      <c r="D117" s="10"/>
      <c r="E117" s="10"/>
      <c r="F117" s="10"/>
      <c r="G117" s="12" t="str">
        <f aca="false">IF(D117="","",IF(OR(D117="WhatsApp",D117="Apagado"),"No","Sí"))</f>
        <v/>
      </c>
      <c r="H117" s="10"/>
      <c r="I117" s="20"/>
      <c r="J117" s="10"/>
      <c r="K117" s="1"/>
    </row>
    <row r="118" customFormat="false" ht="15" hidden="false" customHeight="false" outlineLevel="0" collapsed="false">
      <c r="A118" s="1"/>
      <c r="B118" s="15"/>
      <c r="C118" s="15"/>
      <c r="D118" s="15"/>
      <c r="E118" s="15"/>
      <c r="F118" s="15"/>
      <c r="G118" s="17" t="str">
        <f aca="false">IF(D118="","",IF(OR(D118="WhatsApp",D118="Apagado"),"No","Sí"))</f>
        <v/>
      </c>
      <c r="H118" s="15"/>
      <c r="I118" s="21"/>
      <c r="J118" s="15"/>
      <c r="K118" s="1"/>
    </row>
    <row r="119" customFormat="false" ht="15" hidden="false" customHeight="false" outlineLevel="0" collapsed="false">
      <c r="A119" s="1"/>
      <c r="B119" s="10"/>
      <c r="C119" s="10"/>
      <c r="D119" s="10"/>
      <c r="E119" s="10"/>
      <c r="F119" s="10"/>
      <c r="G119" s="12" t="str">
        <f aca="false">IF(D119="","",IF(OR(D119="WhatsApp",D119="Apagado"),"No","Sí"))</f>
        <v/>
      </c>
      <c r="H119" s="10"/>
      <c r="I119" s="20"/>
      <c r="J119" s="10"/>
      <c r="K119" s="1"/>
    </row>
    <row r="120" customFormat="false" ht="15" hidden="false" customHeight="false" outlineLevel="0" collapsed="false">
      <c r="A120" s="1"/>
      <c r="B120" s="15"/>
      <c r="C120" s="15"/>
      <c r="D120" s="15"/>
      <c r="E120" s="15"/>
      <c r="F120" s="15"/>
      <c r="G120" s="17" t="str">
        <f aca="false">IF(D120="","",IF(OR(D120="WhatsApp",D120="Apagado"),"No","Sí"))</f>
        <v/>
      </c>
      <c r="H120" s="15"/>
      <c r="I120" s="21"/>
      <c r="J120" s="15"/>
      <c r="K120" s="1"/>
    </row>
    <row r="121" customFormat="false" ht="15" hidden="false" customHeight="false" outlineLevel="0" collapsed="false">
      <c r="A121" s="1"/>
      <c r="B121" s="10"/>
      <c r="C121" s="10"/>
      <c r="D121" s="10"/>
      <c r="E121" s="10"/>
      <c r="F121" s="10"/>
      <c r="G121" s="12" t="str">
        <f aca="false">IF(D121="","",IF(OR(D121="WhatsApp",D121="Apagado"),"No","Sí"))</f>
        <v/>
      </c>
      <c r="H121" s="10"/>
      <c r="I121" s="20"/>
      <c r="J121" s="10"/>
      <c r="K121" s="1"/>
    </row>
    <row r="122" customFormat="false" ht="15" hidden="false" customHeight="false" outlineLevel="0" collapsed="false">
      <c r="A122" s="1"/>
      <c r="B122" s="15"/>
      <c r="C122" s="15"/>
      <c r="D122" s="15"/>
      <c r="E122" s="15"/>
      <c r="F122" s="15"/>
      <c r="G122" s="17" t="str">
        <f aca="false">IF(D122="","",IF(OR(D122="WhatsApp",D122="Apagado"),"No","Sí"))</f>
        <v/>
      </c>
      <c r="H122" s="15"/>
      <c r="I122" s="21"/>
      <c r="J122" s="15"/>
      <c r="K122" s="1"/>
    </row>
    <row r="123" customFormat="false" ht="15" hidden="false" customHeight="false" outlineLevel="0" collapsed="false">
      <c r="A123" s="1"/>
      <c r="B123" s="10"/>
      <c r="C123" s="10"/>
      <c r="D123" s="10"/>
      <c r="E123" s="10"/>
      <c r="F123" s="10"/>
      <c r="G123" s="12" t="str">
        <f aca="false">IF(D123="","",IF(OR(D123="WhatsApp",D123="Apagado"),"No","Sí"))</f>
        <v/>
      </c>
      <c r="H123" s="10"/>
      <c r="I123" s="20"/>
      <c r="J123" s="10"/>
      <c r="K123" s="1"/>
    </row>
    <row r="124" customFormat="false" ht="15" hidden="false" customHeight="false" outlineLevel="0" collapsed="false">
      <c r="A124" s="1"/>
      <c r="B124" s="15"/>
      <c r="C124" s="15"/>
      <c r="D124" s="15"/>
      <c r="E124" s="15"/>
      <c r="F124" s="15"/>
      <c r="G124" s="17" t="str">
        <f aca="false">IF(D124="","",IF(OR(D124="WhatsApp",D124="Apagado"),"No","Sí"))</f>
        <v/>
      </c>
      <c r="H124" s="15"/>
      <c r="I124" s="21"/>
      <c r="J124" s="15"/>
      <c r="K124" s="1"/>
    </row>
    <row r="125" customFormat="false" ht="15" hidden="false" customHeight="false" outlineLevel="0" collapsed="false">
      <c r="A125" s="1"/>
      <c r="B125" s="10"/>
      <c r="C125" s="10"/>
      <c r="D125" s="10"/>
      <c r="E125" s="10"/>
      <c r="F125" s="10"/>
      <c r="G125" s="12" t="str">
        <f aca="false">IF(D125="","",IF(OR(D125="WhatsApp",D125="Apagado"),"No","Sí"))</f>
        <v/>
      </c>
      <c r="H125" s="10"/>
      <c r="I125" s="20"/>
      <c r="J125" s="10"/>
      <c r="K125" s="1"/>
    </row>
    <row r="126" customFormat="false" ht="15" hidden="false" customHeight="false" outlineLevel="0" collapsed="false">
      <c r="A126" s="1"/>
      <c r="B126" s="15"/>
      <c r="C126" s="15"/>
      <c r="D126" s="15"/>
      <c r="E126" s="15"/>
      <c r="F126" s="15"/>
      <c r="G126" s="17" t="str">
        <f aca="false">IF(D126="","",IF(OR(D126="WhatsApp",D126="Apagado"),"No","Sí"))</f>
        <v/>
      </c>
      <c r="H126" s="15"/>
      <c r="I126" s="21"/>
      <c r="J126" s="15"/>
      <c r="K126" s="1"/>
    </row>
    <row r="127" customFormat="false" ht="15" hidden="false" customHeight="false" outlineLevel="0" collapsed="false">
      <c r="A127" s="1"/>
      <c r="B127" s="10"/>
      <c r="C127" s="10"/>
      <c r="D127" s="10"/>
      <c r="E127" s="10"/>
      <c r="F127" s="10"/>
      <c r="G127" s="12" t="str">
        <f aca="false">IF(D127="","",IF(OR(D127="WhatsApp",D127="Apagado"),"No","Sí"))</f>
        <v/>
      </c>
      <c r="H127" s="10"/>
      <c r="I127" s="20"/>
      <c r="J127" s="10"/>
      <c r="K127" s="1"/>
    </row>
    <row r="128" customFormat="false" ht="15" hidden="false" customHeight="false" outlineLevel="0" collapsed="false">
      <c r="A128" s="1"/>
      <c r="B128" s="15"/>
      <c r="C128" s="15"/>
      <c r="D128" s="15"/>
      <c r="E128" s="15"/>
      <c r="F128" s="15"/>
      <c r="G128" s="17" t="str">
        <f aca="false">IF(D128="","",IF(OR(D128="WhatsApp",D128="Apagado"),"No","Sí"))</f>
        <v/>
      </c>
      <c r="H128" s="15"/>
      <c r="I128" s="21"/>
      <c r="J128" s="15"/>
      <c r="K128" s="1"/>
    </row>
    <row r="129" customFormat="false" ht="15" hidden="false" customHeight="false" outlineLevel="0" collapsed="false">
      <c r="A129" s="1"/>
      <c r="B129" s="10"/>
      <c r="C129" s="10"/>
      <c r="D129" s="10"/>
      <c r="E129" s="10"/>
      <c r="F129" s="10"/>
      <c r="G129" s="12" t="str">
        <f aca="false">IF(D129="","",IF(OR(D129="WhatsApp",D129="Apagado"),"No","Sí"))</f>
        <v/>
      </c>
      <c r="H129" s="10"/>
      <c r="I129" s="20"/>
      <c r="J129" s="10"/>
      <c r="K129" s="1"/>
    </row>
    <row r="130" customFormat="false" ht="15" hidden="false" customHeight="false" outlineLevel="0" collapsed="false">
      <c r="A130" s="1"/>
      <c r="B130" s="15"/>
      <c r="C130" s="15"/>
      <c r="D130" s="15"/>
      <c r="E130" s="15"/>
      <c r="F130" s="15"/>
      <c r="G130" s="17" t="str">
        <f aca="false">IF(D130="","",IF(OR(D130="WhatsApp",D130="Apagado"),"No","Sí"))</f>
        <v/>
      </c>
      <c r="H130" s="15"/>
      <c r="I130" s="21"/>
      <c r="J130" s="15"/>
      <c r="K130" s="1"/>
    </row>
    <row r="131" customFormat="false" ht="15" hidden="false" customHeight="false" outlineLevel="0" collapsed="false">
      <c r="A131" s="1"/>
      <c r="B131" s="10"/>
      <c r="C131" s="10"/>
      <c r="D131" s="10"/>
      <c r="E131" s="10"/>
      <c r="F131" s="10"/>
      <c r="G131" s="12" t="str">
        <f aca="false">IF(D131="","",IF(OR(D131="WhatsApp",D131="Apagado"),"No","Sí"))</f>
        <v/>
      </c>
      <c r="H131" s="10"/>
      <c r="I131" s="20"/>
      <c r="J131" s="10"/>
      <c r="K131" s="1"/>
    </row>
    <row r="132" customFormat="false" ht="15" hidden="false" customHeight="false" outlineLevel="0" collapsed="false">
      <c r="A132" s="1"/>
      <c r="B132" s="15"/>
      <c r="C132" s="15"/>
      <c r="D132" s="15"/>
      <c r="E132" s="15"/>
      <c r="F132" s="15"/>
      <c r="G132" s="17" t="str">
        <f aca="false">IF(D132="","",IF(OR(D132="WhatsApp",D132="Apagado"),"No","Sí"))</f>
        <v/>
      </c>
      <c r="H132" s="15"/>
      <c r="I132" s="21"/>
      <c r="J132" s="15"/>
      <c r="K132" s="1"/>
    </row>
    <row r="133" customFormat="false" ht="15" hidden="false" customHeight="false" outlineLevel="0" collapsed="false">
      <c r="A133" s="1"/>
      <c r="B133" s="10"/>
      <c r="C133" s="10"/>
      <c r="D133" s="10"/>
      <c r="E133" s="10"/>
      <c r="F133" s="10"/>
      <c r="G133" s="12" t="str">
        <f aca="false">IF(D133="","",IF(OR(D133="WhatsApp",D133="Apagado"),"No","Sí"))</f>
        <v/>
      </c>
      <c r="H133" s="10"/>
      <c r="I133" s="20"/>
      <c r="J133" s="10"/>
      <c r="K133" s="1"/>
    </row>
    <row r="134" customFormat="false" ht="15" hidden="false" customHeight="false" outlineLevel="0" collapsed="false">
      <c r="A134" s="1"/>
      <c r="B134" s="15"/>
      <c r="C134" s="15"/>
      <c r="D134" s="15"/>
      <c r="E134" s="15"/>
      <c r="F134" s="15"/>
      <c r="G134" s="17" t="str">
        <f aca="false">IF(D134="","",IF(OR(D134="WhatsApp",D134="Apagado"),"No","Sí"))</f>
        <v/>
      </c>
      <c r="H134" s="15"/>
      <c r="I134" s="21"/>
      <c r="J134" s="15"/>
      <c r="K134" s="1"/>
    </row>
    <row r="135" customFormat="false" ht="15" hidden="false" customHeight="false" outlineLevel="0" collapsed="false">
      <c r="A135" s="1"/>
      <c r="B135" s="10"/>
      <c r="C135" s="10"/>
      <c r="D135" s="10"/>
      <c r="E135" s="10"/>
      <c r="F135" s="10"/>
      <c r="G135" s="12" t="str">
        <f aca="false">IF(D135="","",IF(OR(D135="WhatsApp",D135="Apagado"),"No","Sí"))</f>
        <v/>
      </c>
      <c r="H135" s="10"/>
      <c r="I135" s="20"/>
      <c r="J135" s="10"/>
      <c r="K135" s="1"/>
    </row>
    <row r="136" customFormat="false" ht="15" hidden="false" customHeight="false" outlineLevel="0" collapsed="false">
      <c r="A136" s="1"/>
      <c r="B136" s="15"/>
      <c r="C136" s="15"/>
      <c r="D136" s="15"/>
      <c r="E136" s="15"/>
      <c r="F136" s="15"/>
      <c r="G136" s="17" t="str">
        <f aca="false">IF(D136="","",IF(OR(D136="WhatsApp",D136="Apagado"),"No","Sí"))</f>
        <v/>
      </c>
      <c r="H136" s="15"/>
      <c r="I136" s="21"/>
      <c r="J136" s="15"/>
      <c r="K136" s="1"/>
    </row>
    <row r="137" customFormat="false" ht="15" hidden="false" customHeight="false" outlineLevel="0" collapsed="false">
      <c r="A137" s="1"/>
      <c r="B137" s="10"/>
      <c r="C137" s="10"/>
      <c r="D137" s="10"/>
      <c r="E137" s="10"/>
      <c r="F137" s="10"/>
      <c r="G137" s="12" t="str">
        <f aca="false">IF(D137="","",IF(OR(D137="WhatsApp",D137="Apagado"),"No","Sí"))</f>
        <v/>
      </c>
      <c r="H137" s="10"/>
      <c r="I137" s="20"/>
      <c r="J137" s="10"/>
      <c r="K137" s="1"/>
    </row>
    <row r="138" customFormat="false" ht="15" hidden="false" customHeight="false" outlineLevel="0" collapsed="false">
      <c r="A138" s="1"/>
      <c r="B138" s="15"/>
      <c r="C138" s="15"/>
      <c r="D138" s="15"/>
      <c r="E138" s="15"/>
      <c r="F138" s="15"/>
      <c r="G138" s="17" t="str">
        <f aca="false">IF(D138="","",IF(OR(D138="WhatsApp",D138="Apagado"),"No","Sí"))</f>
        <v/>
      </c>
      <c r="H138" s="15"/>
      <c r="I138" s="21"/>
      <c r="J138" s="15"/>
      <c r="K138" s="1"/>
    </row>
    <row r="139" customFormat="false" ht="15" hidden="false" customHeight="false" outlineLevel="0" collapsed="false">
      <c r="A139" s="1"/>
      <c r="B139" s="10"/>
      <c r="C139" s="10"/>
      <c r="D139" s="10"/>
      <c r="E139" s="10"/>
      <c r="F139" s="10"/>
      <c r="G139" s="12" t="str">
        <f aca="false">IF(D139="","",IF(OR(D139="WhatsApp",D139="Apagado"),"No","Sí"))</f>
        <v/>
      </c>
      <c r="H139" s="10"/>
      <c r="I139" s="20"/>
      <c r="J139" s="10"/>
      <c r="K139" s="1"/>
    </row>
    <row r="140" customFormat="false" ht="15" hidden="false" customHeight="false" outlineLevel="0" collapsed="false">
      <c r="A140" s="1"/>
      <c r="B140" s="15"/>
      <c r="C140" s="15"/>
      <c r="D140" s="15"/>
      <c r="E140" s="15"/>
      <c r="F140" s="15"/>
      <c r="G140" s="17" t="str">
        <f aca="false">IF(D140="","",IF(OR(D140="WhatsApp",D140="Apagado"),"No","Sí"))</f>
        <v/>
      </c>
      <c r="H140" s="15"/>
      <c r="I140" s="21"/>
      <c r="J140" s="15"/>
      <c r="K140" s="1"/>
    </row>
    <row r="141" customFormat="false" ht="15" hidden="false" customHeight="false" outlineLevel="0" collapsed="false">
      <c r="A141" s="1"/>
      <c r="B141" s="10"/>
      <c r="C141" s="10"/>
      <c r="D141" s="10"/>
      <c r="E141" s="10"/>
      <c r="F141" s="10"/>
      <c r="G141" s="12" t="str">
        <f aca="false">IF(D141="","",IF(OR(D141="WhatsApp",D141="Apagado"),"No","Sí"))</f>
        <v/>
      </c>
      <c r="H141" s="10"/>
      <c r="I141" s="20"/>
      <c r="J141" s="10"/>
      <c r="K141" s="1"/>
    </row>
    <row r="142" customFormat="false" ht="15" hidden="false" customHeight="false" outlineLevel="0" collapsed="false">
      <c r="A142" s="1"/>
      <c r="B142" s="15"/>
      <c r="C142" s="15"/>
      <c r="D142" s="15"/>
      <c r="E142" s="15"/>
      <c r="F142" s="15"/>
      <c r="G142" s="17" t="str">
        <f aca="false">IF(D142="","",IF(OR(D142="WhatsApp",D142="Apagado"),"No","Sí"))</f>
        <v/>
      </c>
      <c r="H142" s="15"/>
      <c r="I142" s="21"/>
      <c r="J142" s="15"/>
      <c r="K142" s="1"/>
    </row>
    <row r="143" customFormat="false" ht="15" hidden="false" customHeight="false" outlineLevel="0" collapsed="false">
      <c r="A143" s="1"/>
      <c r="B143" s="10"/>
      <c r="C143" s="10"/>
      <c r="D143" s="10"/>
      <c r="E143" s="10"/>
      <c r="F143" s="10"/>
      <c r="G143" s="12" t="str">
        <f aca="false">IF(D143="","",IF(OR(D143="WhatsApp",D143="Apagado"),"No","Sí"))</f>
        <v/>
      </c>
      <c r="H143" s="10"/>
      <c r="I143" s="20"/>
      <c r="J143" s="10"/>
      <c r="K143" s="1"/>
    </row>
    <row r="144" customFormat="false" ht="15" hidden="false" customHeight="false" outlineLevel="0" collapsed="false">
      <c r="A144" s="1"/>
      <c r="B144" s="15"/>
      <c r="C144" s="15"/>
      <c r="D144" s="15"/>
      <c r="E144" s="15"/>
      <c r="F144" s="15"/>
      <c r="G144" s="17" t="str">
        <f aca="false">IF(D144="","",IF(OR(D144="WhatsApp",D144="Apagado"),"No","Sí"))</f>
        <v/>
      </c>
      <c r="H144" s="15"/>
      <c r="I144" s="21"/>
      <c r="J144" s="15"/>
      <c r="K144" s="1"/>
    </row>
    <row r="145" customFormat="false" ht="15" hidden="false" customHeight="false" outlineLevel="0" collapsed="false">
      <c r="A145" s="1"/>
      <c r="B145" s="10"/>
      <c r="C145" s="10"/>
      <c r="D145" s="10"/>
      <c r="E145" s="10"/>
      <c r="F145" s="10"/>
      <c r="G145" s="12" t="str">
        <f aca="false">IF(D145="","",IF(OR(D145="WhatsApp",D145="Apagado"),"No","Sí"))</f>
        <v/>
      </c>
      <c r="H145" s="10"/>
      <c r="I145" s="20"/>
      <c r="J145" s="10"/>
      <c r="K145" s="1"/>
    </row>
    <row r="146" customFormat="false" ht="15" hidden="false" customHeight="false" outlineLevel="0" collapsed="false">
      <c r="A146" s="1"/>
      <c r="B146" s="15"/>
      <c r="C146" s="15"/>
      <c r="D146" s="15"/>
      <c r="E146" s="15"/>
      <c r="F146" s="15"/>
      <c r="G146" s="17" t="str">
        <f aca="false">IF(D146="","",IF(OR(D146="WhatsApp",D146="Apagado"),"No","Sí"))</f>
        <v/>
      </c>
      <c r="H146" s="15"/>
      <c r="I146" s="21"/>
      <c r="J146" s="15"/>
      <c r="K146" s="1"/>
    </row>
    <row r="147" customFormat="false" ht="15" hidden="false" customHeight="false" outlineLevel="0" collapsed="false">
      <c r="A147" s="1"/>
      <c r="B147" s="10"/>
      <c r="C147" s="10"/>
      <c r="D147" s="10"/>
      <c r="E147" s="10"/>
      <c r="F147" s="10"/>
      <c r="G147" s="12" t="str">
        <f aca="false">IF(D147="","",IF(OR(D147="WhatsApp",D147="Apagado"),"No","Sí"))</f>
        <v/>
      </c>
      <c r="H147" s="10"/>
      <c r="I147" s="20"/>
      <c r="J147" s="10"/>
      <c r="K147" s="1"/>
    </row>
    <row r="148" customFormat="false" ht="15" hidden="false" customHeight="false" outlineLevel="0" collapsed="false">
      <c r="A148" s="1"/>
      <c r="B148" s="15"/>
      <c r="C148" s="15"/>
      <c r="D148" s="15"/>
      <c r="E148" s="15"/>
      <c r="F148" s="15"/>
      <c r="G148" s="17" t="str">
        <f aca="false">IF(D148="","",IF(OR(D148="WhatsApp",D148="Apagado"),"No","Sí"))</f>
        <v/>
      </c>
      <c r="H148" s="15"/>
      <c r="I148" s="21"/>
      <c r="J148" s="15"/>
      <c r="K148" s="1"/>
    </row>
    <row r="149" customFormat="false" ht="15" hidden="false" customHeight="false" outlineLevel="0" collapsed="false">
      <c r="A149" s="1"/>
      <c r="B149" s="10"/>
      <c r="C149" s="10"/>
      <c r="D149" s="10"/>
      <c r="E149" s="10"/>
      <c r="F149" s="10"/>
      <c r="G149" s="12" t="str">
        <f aca="false">IF(D149="","",IF(OR(D149="WhatsApp",D149="Apagado"),"No","Sí"))</f>
        <v/>
      </c>
      <c r="H149" s="10"/>
      <c r="I149" s="20"/>
      <c r="J149" s="10"/>
      <c r="K149" s="1"/>
    </row>
    <row r="150" customFormat="false" ht="15" hidden="false" customHeight="false" outlineLevel="0" collapsed="false">
      <c r="A150" s="1"/>
      <c r="B150" s="15"/>
      <c r="C150" s="15"/>
      <c r="D150" s="15"/>
      <c r="E150" s="15"/>
      <c r="F150" s="15"/>
      <c r="G150" s="17" t="str">
        <f aca="false">IF(D150="","",IF(OR(D150="WhatsApp",D150="Apagado"),"No","Sí"))</f>
        <v/>
      </c>
      <c r="H150" s="15"/>
      <c r="I150" s="21"/>
      <c r="J150" s="15"/>
      <c r="K150" s="1"/>
    </row>
    <row r="151" customFormat="false" ht="15" hidden="false" customHeight="false" outlineLevel="0" collapsed="false">
      <c r="A151" s="1"/>
      <c r="B151" s="10"/>
      <c r="C151" s="10"/>
      <c r="D151" s="10"/>
      <c r="E151" s="10"/>
      <c r="F151" s="10"/>
      <c r="G151" s="12" t="str">
        <f aca="false">IF(D151="","",IF(OR(D151="WhatsApp",D151="Apagado"),"No","Sí"))</f>
        <v/>
      </c>
      <c r="H151" s="10"/>
      <c r="I151" s="20"/>
      <c r="J151" s="10"/>
      <c r="K151" s="1"/>
    </row>
    <row r="152" customFormat="false" ht="15" hidden="false" customHeight="false" outlineLevel="0" collapsed="false">
      <c r="A152" s="1"/>
      <c r="B152" s="15"/>
      <c r="C152" s="15"/>
      <c r="D152" s="15"/>
      <c r="E152" s="15"/>
      <c r="F152" s="15"/>
      <c r="G152" s="17" t="str">
        <f aca="false">IF(D152="","",IF(OR(D152="WhatsApp",D152="Apagado"),"No","Sí"))</f>
        <v/>
      </c>
      <c r="H152" s="15"/>
      <c r="I152" s="21"/>
      <c r="J152" s="15"/>
      <c r="K152" s="1"/>
    </row>
    <row r="153" customFormat="false" ht="15" hidden="false" customHeight="false" outlineLevel="0" collapsed="false">
      <c r="A153" s="1"/>
      <c r="B153" s="10"/>
      <c r="C153" s="10"/>
      <c r="D153" s="10"/>
      <c r="E153" s="10"/>
      <c r="F153" s="10"/>
      <c r="G153" s="12" t="str">
        <f aca="false">IF(D153="","",IF(OR(D153="WhatsApp",D153="Apagado"),"No","Sí"))</f>
        <v/>
      </c>
      <c r="H153" s="10"/>
      <c r="I153" s="20"/>
      <c r="J153" s="10"/>
      <c r="K153" s="1"/>
    </row>
    <row r="154" customFormat="false" ht="15" hidden="false" customHeight="false" outlineLevel="0" collapsed="false">
      <c r="A154" s="1"/>
      <c r="B154" s="15"/>
      <c r="C154" s="15"/>
      <c r="D154" s="15"/>
      <c r="E154" s="15"/>
      <c r="F154" s="15"/>
      <c r="G154" s="17" t="str">
        <f aca="false">IF(D154="","",IF(OR(D154="WhatsApp",D154="Apagado"),"No","Sí"))</f>
        <v/>
      </c>
      <c r="H154" s="15"/>
      <c r="I154" s="21"/>
      <c r="J154" s="15"/>
      <c r="K154" s="1"/>
    </row>
    <row r="155" customFormat="false" ht="15" hidden="false" customHeight="false" outlineLevel="0" collapsed="false">
      <c r="A155" s="1"/>
      <c r="B155" s="10"/>
      <c r="C155" s="10"/>
      <c r="D155" s="10"/>
      <c r="E155" s="10"/>
      <c r="F155" s="10"/>
      <c r="G155" s="12" t="str">
        <f aca="false">IF(D155="","",IF(OR(D155="WhatsApp",D155="Apagado"),"No","Sí"))</f>
        <v/>
      </c>
      <c r="H155" s="10"/>
      <c r="I155" s="20"/>
      <c r="J155" s="10"/>
      <c r="K155" s="1"/>
    </row>
    <row r="156" customFormat="false" ht="15" hidden="false" customHeight="false" outlineLevel="0" collapsed="false">
      <c r="A156" s="1"/>
      <c r="B156" s="15"/>
      <c r="C156" s="15"/>
      <c r="D156" s="15"/>
      <c r="E156" s="15"/>
      <c r="F156" s="15"/>
      <c r="G156" s="17" t="str">
        <f aca="false">IF(D156="","",IF(OR(D156="WhatsApp",D156="Apagado"),"No","Sí"))</f>
        <v/>
      </c>
      <c r="H156" s="15"/>
      <c r="I156" s="21"/>
      <c r="J156" s="15"/>
      <c r="K156" s="1"/>
    </row>
    <row r="157" customFormat="false" ht="15" hidden="false" customHeight="false" outlineLevel="0" collapsed="false">
      <c r="A157" s="1"/>
      <c r="B157" s="10"/>
      <c r="C157" s="10"/>
      <c r="D157" s="10"/>
      <c r="E157" s="10"/>
      <c r="F157" s="10"/>
      <c r="G157" s="12" t="str">
        <f aca="false">IF(D157="","",IF(OR(D157="WhatsApp",D157="Apagado"),"No","Sí"))</f>
        <v/>
      </c>
      <c r="H157" s="10"/>
      <c r="I157" s="20"/>
      <c r="J157" s="10"/>
      <c r="K157" s="1"/>
    </row>
    <row r="158" customFormat="false" ht="15" hidden="false" customHeight="false" outlineLevel="0" collapsed="false">
      <c r="A158" s="1"/>
      <c r="B158" s="15"/>
      <c r="C158" s="15"/>
      <c r="D158" s="15"/>
      <c r="E158" s="15"/>
      <c r="F158" s="15"/>
      <c r="G158" s="17" t="str">
        <f aca="false">IF(D158="","",IF(OR(D158="WhatsApp",D158="Apagado"),"No","Sí"))</f>
        <v/>
      </c>
      <c r="H158" s="15"/>
      <c r="I158" s="21"/>
      <c r="J158" s="15"/>
      <c r="K158" s="1"/>
    </row>
    <row r="159" customFormat="false" ht="15" hidden="false" customHeight="false" outlineLevel="0" collapsed="false">
      <c r="A159" s="1"/>
      <c r="B159" s="10"/>
      <c r="C159" s="10"/>
      <c r="D159" s="10"/>
      <c r="E159" s="10"/>
      <c r="F159" s="10"/>
      <c r="G159" s="12" t="str">
        <f aca="false">IF(D159="","",IF(OR(D159="WhatsApp",D159="Apagado"),"No","Sí"))</f>
        <v/>
      </c>
      <c r="H159" s="10"/>
      <c r="I159" s="20"/>
      <c r="J159" s="10"/>
      <c r="K159" s="1"/>
    </row>
    <row r="160" customFormat="false" ht="15" hidden="false" customHeight="false" outlineLevel="0" collapsed="false">
      <c r="A160" s="1"/>
      <c r="B160" s="15"/>
      <c r="C160" s="15"/>
      <c r="D160" s="15"/>
      <c r="E160" s="15"/>
      <c r="F160" s="15"/>
      <c r="G160" s="17" t="str">
        <f aca="false">IF(D160="","",IF(OR(D160="WhatsApp",D160="Apagado"),"No","Sí"))</f>
        <v/>
      </c>
      <c r="H160" s="15"/>
      <c r="I160" s="21"/>
      <c r="J160" s="15"/>
      <c r="K160" s="1"/>
    </row>
    <row r="161" customFormat="false" ht="15" hidden="false" customHeight="false" outlineLevel="0" collapsed="false">
      <c r="A161" s="1"/>
      <c r="B161" s="10"/>
      <c r="C161" s="10"/>
      <c r="D161" s="10"/>
      <c r="E161" s="10"/>
      <c r="F161" s="10"/>
      <c r="G161" s="12" t="str">
        <f aca="false">IF(D161="","",IF(OR(D161="WhatsApp",D161="Apagado"),"No","Sí"))</f>
        <v/>
      </c>
      <c r="H161" s="10"/>
      <c r="I161" s="20"/>
      <c r="J161" s="10"/>
      <c r="K161" s="1"/>
    </row>
    <row r="162" customFormat="false" ht="15" hidden="false" customHeight="false" outlineLevel="0" collapsed="false">
      <c r="A162" s="1"/>
      <c r="B162" s="15"/>
      <c r="C162" s="15"/>
      <c r="D162" s="15"/>
      <c r="E162" s="15"/>
      <c r="F162" s="15"/>
      <c r="G162" s="17" t="str">
        <f aca="false">IF(D162="","",IF(OR(D162="WhatsApp",D162="Apagado"),"No","Sí"))</f>
        <v/>
      </c>
      <c r="H162" s="15"/>
      <c r="I162" s="21"/>
      <c r="J162" s="15"/>
      <c r="K162" s="1"/>
    </row>
    <row r="163" customFormat="false" ht="15" hidden="false" customHeight="false" outlineLevel="0" collapsed="false">
      <c r="A163" s="1"/>
      <c r="B163" s="10"/>
      <c r="C163" s="10"/>
      <c r="D163" s="10"/>
      <c r="E163" s="10"/>
      <c r="F163" s="10"/>
      <c r="G163" s="12" t="str">
        <f aca="false">IF(D163="","",IF(OR(D163="WhatsApp",D163="Apagado"),"No","Sí"))</f>
        <v/>
      </c>
      <c r="H163" s="10"/>
      <c r="I163" s="20"/>
      <c r="J163" s="10"/>
      <c r="K163" s="1"/>
    </row>
    <row r="164" customFormat="false" ht="15" hidden="false" customHeight="false" outlineLevel="0" collapsed="false">
      <c r="A164" s="1"/>
      <c r="B164" s="15"/>
      <c r="C164" s="15"/>
      <c r="D164" s="15"/>
      <c r="E164" s="15"/>
      <c r="F164" s="15"/>
      <c r="G164" s="17" t="str">
        <f aca="false">IF(D164="","",IF(OR(D164="WhatsApp",D164="Apagado"),"No","Sí"))</f>
        <v/>
      </c>
      <c r="H164" s="15"/>
      <c r="I164" s="21"/>
      <c r="J164" s="15"/>
      <c r="K164" s="1"/>
    </row>
    <row r="165" customFormat="false" ht="15" hidden="false" customHeight="false" outlineLevel="0" collapsed="false">
      <c r="A165" s="1"/>
      <c r="B165" s="10"/>
      <c r="C165" s="10"/>
      <c r="D165" s="10"/>
      <c r="E165" s="10"/>
      <c r="F165" s="10"/>
      <c r="G165" s="12" t="str">
        <f aca="false">IF(D165="","",IF(OR(D165="WhatsApp",D165="Apagado"),"No","Sí"))</f>
        <v/>
      </c>
      <c r="H165" s="10"/>
      <c r="I165" s="20"/>
      <c r="J165" s="10"/>
      <c r="K165" s="1"/>
    </row>
    <row r="166" customFormat="false" ht="15" hidden="false" customHeight="false" outlineLevel="0" collapsed="false">
      <c r="A166" s="1"/>
      <c r="B166" s="15"/>
      <c r="C166" s="15"/>
      <c r="D166" s="15"/>
      <c r="E166" s="15"/>
      <c r="F166" s="15"/>
      <c r="G166" s="17" t="str">
        <f aca="false">IF(D166="","",IF(OR(D166="WhatsApp",D166="Apagado"),"No","Sí"))</f>
        <v/>
      </c>
      <c r="H166" s="15"/>
      <c r="I166" s="21"/>
      <c r="J166" s="15"/>
      <c r="K166" s="1"/>
    </row>
    <row r="167" customFormat="false" ht="15" hidden="false" customHeight="false" outlineLevel="0" collapsed="false">
      <c r="A167" s="1"/>
      <c r="B167" s="10"/>
      <c r="C167" s="10"/>
      <c r="D167" s="10"/>
      <c r="E167" s="10"/>
      <c r="F167" s="10"/>
      <c r="G167" s="12" t="str">
        <f aca="false">IF(D167="","",IF(OR(D167="WhatsApp",D167="Apagado"),"No","Sí"))</f>
        <v/>
      </c>
      <c r="H167" s="10"/>
      <c r="I167" s="20"/>
      <c r="J167" s="10"/>
      <c r="K167" s="1"/>
    </row>
    <row r="168" customFormat="false" ht="15" hidden="false" customHeight="false" outlineLevel="0" collapsed="false">
      <c r="A168" s="1"/>
      <c r="B168" s="15"/>
      <c r="C168" s="15"/>
      <c r="D168" s="15"/>
      <c r="E168" s="15"/>
      <c r="F168" s="15"/>
      <c r="G168" s="17" t="str">
        <f aca="false">IF(D168="","",IF(OR(D168="WhatsApp",D168="Apagado"),"No","Sí"))</f>
        <v/>
      </c>
      <c r="H168" s="15"/>
      <c r="I168" s="21"/>
      <c r="J168" s="15"/>
      <c r="K168" s="1"/>
    </row>
    <row r="169" customFormat="false" ht="15" hidden="false" customHeight="false" outlineLevel="0" collapsed="false">
      <c r="A169" s="1"/>
      <c r="B169" s="10"/>
      <c r="C169" s="10"/>
      <c r="D169" s="10"/>
      <c r="E169" s="10"/>
      <c r="F169" s="10"/>
      <c r="G169" s="12" t="str">
        <f aca="false">IF(D169="","",IF(OR(D169="WhatsApp",D169="Apagado"),"No","Sí"))</f>
        <v/>
      </c>
      <c r="H169" s="10"/>
      <c r="I169" s="20"/>
      <c r="J169" s="10"/>
      <c r="K169" s="1"/>
    </row>
    <row r="170" customFormat="false" ht="15" hidden="false" customHeight="false" outlineLevel="0" collapsed="false">
      <c r="A170" s="1"/>
      <c r="B170" s="15"/>
      <c r="C170" s="15"/>
      <c r="D170" s="15"/>
      <c r="E170" s="15"/>
      <c r="F170" s="15"/>
      <c r="G170" s="17" t="str">
        <f aca="false">IF(D170="","",IF(OR(D170="WhatsApp",D170="Apagado"),"No","Sí"))</f>
        <v/>
      </c>
      <c r="H170" s="15"/>
      <c r="I170" s="21"/>
      <c r="J170" s="15"/>
      <c r="K170" s="1"/>
    </row>
    <row r="171" customFormat="false" ht="15" hidden="false" customHeight="false" outlineLevel="0" collapsed="false">
      <c r="A171" s="1"/>
      <c r="B171" s="10"/>
      <c r="C171" s="10"/>
      <c r="D171" s="10"/>
      <c r="E171" s="10"/>
      <c r="F171" s="10"/>
      <c r="G171" s="12" t="str">
        <f aca="false">IF(D171="","",IF(OR(D171="WhatsApp",D171="Apagado"),"No","Sí"))</f>
        <v/>
      </c>
      <c r="H171" s="10"/>
      <c r="I171" s="20"/>
      <c r="J171" s="10"/>
      <c r="K171" s="1"/>
    </row>
    <row r="172" customFormat="false" ht="15" hidden="false" customHeight="false" outlineLevel="0" collapsed="false">
      <c r="A172" s="1"/>
      <c r="B172" s="15"/>
      <c r="C172" s="15"/>
      <c r="D172" s="15"/>
      <c r="E172" s="15"/>
      <c r="F172" s="15"/>
      <c r="G172" s="17" t="str">
        <f aca="false">IF(D172="","",IF(OR(D172="WhatsApp",D172="Apagado"),"No","Sí"))</f>
        <v/>
      </c>
      <c r="H172" s="15"/>
      <c r="I172" s="21"/>
      <c r="J172" s="15"/>
      <c r="K172" s="1"/>
    </row>
    <row r="173" customFormat="false" ht="15" hidden="false" customHeight="false" outlineLevel="0" collapsed="false">
      <c r="A173" s="1"/>
      <c r="B173" s="10"/>
      <c r="C173" s="10"/>
      <c r="D173" s="10"/>
      <c r="E173" s="10"/>
      <c r="F173" s="10"/>
      <c r="G173" s="12" t="str">
        <f aca="false">IF(D173="","",IF(OR(D173="WhatsApp",D173="Apagado"),"No","Sí"))</f>
        <v/>
      </c>
      <c r="H173" s="10"/>
      <c r="I173" s="20"/>
      <c r="J173" s="10"/>
      <c r="K173" s="1"/>
    </row>
    <row r="174" customFormat="false" ht="15" hidden="false" customHeight="false" outlineLevel="0" collapsed="false">
      <c r="A174" s="1"/>
      <c r="B174" s="15"/>
      <c r="C174" s="15"/>
      <c r="D174" s="15"/>
      <c r="E174" s="15"/>
      <c r="F174" s="15"/>
      <c r="G174" s="17" t="str">
        <f aca="false">IF(D174="","",IF(OR(D174="WhatsApp",D174="Apagado"),"No","Sí"))</f>
        <v/>
      </c>
      <c r="H174" s="15"/>
      <c r="I174" s="21"/>
      <c r="J174" s="15"/>
      <c r="K174" s="1"/>
    </row>
    <row r="175" customFormat="false" ht="15" hidden="false" customHeight="false" outlineLevel="0" collapsed="false">
      <c r="A175" s="1"/>
      <c r="B175" s="10"/>
      <c r="C175" s="10"/>
      <c r="D175" s="10"/>
      <c r="E175" s="10"/>
      <c r="F175" s="10"/>
      <c r="G175" s="12" t="str">
        <f aca="false">IF(D175="","",IF(OR(D175="WhatsApp",D175="Apagado"),"No","Sí"))</f>
        <v/>
      </c>
      <c r="H175" s="10"/>
      <c r="I175" s="20"/>
      <c r="J175" s="10"/>
      <c r="K175" s="1"/>
    </row>
    <row r="176" customFormat="false" ht="15" hidden="false" customHeight="false" outlineLevel="0" collapsed="false">
      <c r="A176" s="1"/>
      <c r="B176" s="15"/>
      <c r="C176" s="15"/>
      <c r="D176" s="15"/>
      <c r="E176" s="15"/>
      <c r="F176" s="15"/>
      <c r="G176" s="17" t="str">
        <f aca="false">IF(D176="","",IF(OR(D176="WhatsApp",D176="Apagado"),"No","Sí"))</f>
        <v/>
      </c>
      <c r="H176" s="15"/>
      <c r="I176" s="21"/>
      <c r="J176" s="15"/>
      <c r="K176" s="1"/>
    </row>
    <row r="177" customFormat="false" ht="15" hidden="false" customHeight="false" outlineLevel="0" collapsed="false">
      <c r="A177" s="1"/>
      <c r="B177" s="10"/>
      <c r="C177" s="10"/>
      <c r="D177" s="10"/>
      <c r="E177" s="10"/>
      <c r="F177" s="10"/>
      <c r="G177" s="12" t="str">
        <f aca="false">IF(D177="","",IF(OR(D177="WhatsApp",D177="Apagado"),"No","Sí"))</f>
        <v/>
      </c>
      <c r="H177" s="10"/>
      <c r="I177" s="20"/>
      <c r="J177" s="10"/>
      <c r="K177" s="1"/>
    </row>
    <row r="178" customFormat="false" ht="15" hidden="false" customHeight="false" outlineLevel="0" collapsed="false">
      <c r="A178" s="1"/>
      <c r="B178" s="15"/>
      <c r="C178" s="15"/>
      <c r="D178" s="15"/>
      <c r="E178" s="15"/>
      <c r="F178" s="15"/>
      <c r="G178" s="17" t="str">
        <f aca="false">IF(D178="","",IF(OR(D178="WhatsApp",D178="Apagado"),"No","Sí"))</f>
        <v/>
      </c>
      <c r="H178" s="15"/>
      <c r="I178" s="21"/>
      <c r="J178" s="15"/>
      <c r="K178" s="1"/>
    </row>
    <row r="179" customFormat="false" ht="15" hidden="false" customHeight="false" outlineLevel="0" collapsed="false">
      <c r="A179" s="1"/>
      <c r="B179" s="10"/>
      <c r="C179" s="10"/>
      <c r="D179" s="10"/>
      <c r="E179" s="10"/>
      <c r="F179" s="10"/>
      <c r="G179" s="12" t="str">
        <f aca="false">IF(D179="","",IF(OR(D179="WhatsApp",D179="Apagado"),"No","Sí"))</f>
        <v/>
      </c>
      <c r="H179" s="10"/>
      <c r="I179" s="20"/>
      <c r="J179" s="10"/>
      <c r="K179" s="1"/>
    </row>
    <row r="180" customFormat="false" ht="15" hidden="false" customHeight="false" outlineLevel="0" collapsed="false">
      <c r="A180" s="1"/>
      <c r="B180" s="15"/>
      <c r="C180" s="15"/>
      <c r="D180" s="15"/>
      <c r="E180" s="15"/>
      <c r="F180" s="15"/>
      <c r="G180" s="17" t="str">
        <f aca="false">IF(D180="","",IF(OR(D180="WhatsApp",D180="Apagado"),"No","Sí"))</f>
        <v/>
      </c>
      <c r="H180" s="15"/>
      <c r="I180" s="21"/>
      <c r="J180" s="15"/>
      <c r="K180" s="1"/>
    </row>
    <row r="181" customFormat="false" ht="15" hidden="false" customHeight="false" outlineLevel="0" collapsed="false">
      <c r="A181" s="1"/>
      <c r="B181" s="10"/>
      <c r="C181" s="10"/>
      <c r="D181" s="10"/>
      <c r="E181" s="10"/>
      <c r="F181" s="10"/>
      <c r="G181" s="12" t="str">
        <f aca="false">IF(D181="","",IF(OR(D181="WhatsApp",D181="Apagado"),"No","Sí"))</f>
        <v/>
      </c>
      <c r="H181" s="10"/>
      <c r="I181" s="20"/>
      <c r="J181" s="10"/>
      <c r="K181" s="1"/>
    </row>
    <row r="182" customFormat="false" ht="15" hidden="false" customHeight="false" outlineLevel="0" collapsed="false">
      <c r="A182" s="1"/>
      <c r="B182" s="15"/>
      <c r="C182" s="15"/>
      <c r="D182" s="15"/>
      <c r="E182" s="15"/>
      <c r="F182" s="15"/>
      <c r="G182" s="17" t="str">
        <f aca="false">IF(D182="","",IF(OR(D182="WhatsApp",D182="Apagado"),"No","Sí"))</f>
        <v/>
      </c>
      <c r="H182" s="15"/>
      <c r="I182" s="21"/>
      <c r="J182" s="15"/>
      <c r="K182" s="1"/>
    </row>
    <row r="183" customFormat="false" ht="15" hidden="false" customHeight="false" outlineLevel="0" collapsed="false">
      <c r="A183" s="1"/>
      <c r="B183" s="10"/>
      <c r="C183" s="10"/>
      <c r="D183" s="10"/>
      <c r="E183" s="10"/>
      <c r="F183" s="10"/>
      <c r="G183" s="12" t="str">
        <f aca="false">IF(D183="","",IF(OR(D183="WhatsApp",D183="Apagado"),"No","Sí"))</f>
        <v/>
      </c>
      <c r="H183" s="10"/>
      <c r="I183" s="20"/>
      <c r="J183" s="10"/>
      <c r="K183" s="1"/>
    </row>
    <row r="184" customFormat="false" ht="15" hidden="false" customHeight="false" outlineLevel="0" collapsed="false">
      <c r="A184" s="1"/>
      <c r="B184" s="15"/>
      <c r="C184" s="15"/>
      <c r="D184" s="15"/>
      <c r="E184" s="15"/>
      <c r="F184" s="15"/>
      <c r="G184" s="17" t="str">
        <f aca="false">IF(D184="","",IF(OR(D184="WhatsApp",D184="Apagado"),"No","Sí"))</f>
        <v/>
      </c>
      <c r="H184" s="15"/>
      <c r="I184" s="21"/>
      <c r="J184" s="15"/>
      <c r="K184" s="1"/>
    </row>
    <row r="185" customFormat="false" ht="15" hidden="false" customHeight="false" outlineLevel="0" collapsed="false">
      <c r="A185" s="1"/>
      <c r="B185" s="10"/>
      <c r="C185" s="10"/>
      <c r="D185" s="10"/>
      <c r="E185" s="10"/>
      <c r="F185" s="10"/>
      <c r="G185" s="12" t="str">
        <f aca="false">IF(D185="","",IF(OR(D185="WhatsApp",D185="Apagado"),"No","Sí"))</f>
        <v/>
      </c>
      <c r="H185" s="10"/>
      <c r="I185" s="20"/>
      <c r="J185" s="10"/>
      <c r="K185" s="1"/>
    </row>
    <row r="186" customFormat="false" ht="15" hidden="false" customHeight="false" outlineLevel="0" collapsed="false">
      <c r="A186" s="1"/>
      <c r="B186" s="15"/>
      <c r="C186" s="15"/>
      <c r="D186" s="15"/>
      <c r="E186" s="15"/>
      <c r="F186" s="15"/>
      <c r="G186" s="17" t="str">
        <f aca="false">IF(D186="","",IF(OR(D186="WhatsApp",D186="Apagado"),"No","Sí"))</f>
        <v/>
      </c>
      <c r="H186" s="15"/>
      <c r="I186" s="21"/>
      <c r="J186" s="15"/>
      <c r="K186" s="1"/>
    </row>
    <row r="187" customFormat="false" ht="15" hidden="false" customHeight="false" outlineLevel="0" collapsed="false">
      <c r="A187" s="1"/>
      <c r="B187" s="10"/>
      <c r="C187" s="10"/>
      <c r="D187" s="10"/>
      <c r="E187" s="10"/>
      <c r="F187" s="10"/>
      <c r="G187" s="12" t="str">
        <f aca="false">IF(D187="","",IF(OR(D187="WhatsApp",D187="Apagado"),"No","Sí"))</f>
        <v/>
      </c>
      <c r="H187" s="10"/>
      <c r="I187" s="20"/>
      <c r="J187" s="10"/>
      <c r="K187" s="1"/>
    </row>
    <row r="188" customFormat="false" ht="15" hidden="false" customHeight="false" outlineLevel="0" collapsed="false">
      <c r="A188" s="1"/>
      <c r="B188" s="15"/>
      <c r="C188" s="15"/>
      <c r="D188" s="15"/>
      <c r="E188" s="15"/>
      <c r="F188" s="15"/>
      <c r="G188" s="17" t="str">
        <f aca="false">IF(D188="","",IF(OR(D188="WhatsApp",D188="Apagado"),"No","Sí"))</f>
        <v/>
      </c>
      <c r="H188" s="15"/>
      <c r="I188" s="21"/>
      <c r="J188" s="15"/>
      <c r="K188" s="1"/>
    </row>
    <row r="189" customFormat="false" ht="15" hidden="false" customHeight="false" outlineLevel="0" collapsed="false">
      <c r="A189" s="1"/>
      <c r="B189" s="10"/>
      <c r="C189" s="10"/>
      <c r="D189" s="10"/>
      <c r="E189" s="10"/>
      <c r="F189" s="10"/>
      <c r="G189" s="12" t="str">
        <f aca="false">IF(D189="","",IF(OR(D189="WhatsApp",D189="Apagado"),"No","Sí"))</f>
        <v/>
      </c>
      <c r="H189" s="10"/>
      <c r="I189" s="20"/>
      <c r="J189" s="10"/>
      <c r="K189" s="1"/>
    </row>
    <row r="190" customFormat="false" ht="15" hidden="false" customHeight="false" outlineLevel="0" collapsed="false">
      <c r="A190" s="1"/>
      <c r="B190" s="15"/>
      <c r="C190" s="15"/>
      <c r="D190" s="15"/>
      <c r="E190" s="15"/>
      <c r="F190" s="15"/>
      <c r="G190" s="17" t="str">
        <f aca="false">IF(D190="","",IF(OR(D190="WhatsApp",D190="Apagado"),"No","Sí"))</f>
        <v/>
      </c>
      <c r="H190" s="15"/>
      <c r="I190" s="21"/>
      <c r="J190" s="15"/>
      <c r="K190" s="1"/>
    </row>
    <row r="191" customFormat="false" ht="15" hidden="false" customHeight="false" outlineLevel="0" collapsed="false">
      <c r="A191" s="1"/>
      <c r="B191" s="10"/>
      <c r="C191" s="10"/>
      <c r="D191" s="10"/>
      <c r="E191" s="10"/>
      <c r="F191" s="10"/>
      <c r="G191" s="12" t="str">
        <f aca="false">IF(D191="","",IF(OR(D191="WhatsApp",D191="Apagado"),"No","Sí"))</f>
        <v/>
      </c>
      <c r="H191" s="10"/>
      <c r="I191" s="20"/>
      <c r="J191" s="10"/>
      <c r="K191" s="1"/>
    </row>
    <row r="192" customFormat="false" ht="15" hidden="false" customHeight="false" outlineLevel="0" collapsed="false">
      <c r="A192" s="1"/>
      <c r="B192" s="15"/>
      <c r="C192" s="15"/>
      <c r="D192" s="15"/>
      <c r="E192" s="15"/>
      <c r="F192" s="15"/>
      <c r="G192" s="17" t="str">
        <f aca="false">IF(D192="","",IF(OR(D192="WhatsApp",D192="Apagado"),"No","Sí"))</f>
        <v/>
      </c>
      <c r="H192" s="15"/>
      <c r="I192" s="21"/>
      <c r="J192" s="15"/>
      <c r="K192" s="1"/>
    </row>
    <row r="193" customFormat="false" ht="15" hidden="false" customHeight="false" outlineLevel="0" collapsed="false">
      <c r="A193" s="1"/>
      <c r="B193" s="10"/>
      <c r="C193" s="10"/>
      <c r="D193" s="10"/>
      <c r="E193" s="10"/>
      <c r="F193" s="10"/>
      <c r="G193" s="12" t="str">
        <f aca="false">IF(D193="","",IF(OR(D193="WhatsApp",D193="Apagado"),"No","Sí"))</f>
        <v/>
      </c>
      <c r="H193" s="10"/>
      <c r="I193" s="20"/>
      <c r="J193" s="10"/>
      <c r="K193" s="1"/>
    </row>
    <row r="194" customFormat="false" ht="15" hidden="false" customHeight="false" outlineLevel="0" collapsed="false">
      <c r="A194" s="1"/>
      <c r="B194" s="15"/>
      <c r="C194" s="15"/>
      <c r="D194" s="15"/>
      <c r="E194" s="15"/>
      <c r="F194" s="15"/>
      <c r="G194" s="17" t="str">
        <f aca="false">IF(D194="","",IF(OR(D194="WhatsApp",D194="Apagado"),"No","Sí"))</f>
        <v/>
      </c>
      <c r="H194" s="15"/>
      <c r="I194" s="21"/>
      <c r="J194" s="15"/>
      <c r="K194" s="1"/>
    </row>
    <row r="195" customFormat="false" ht="15" hidden="false" customHeight="false" outlineLevel="0" collapsed="false">
      <c r="A195" s="1"/>
      <c r="B195" s="10"/>
      <c r="C195" s="10"/>
      <c r="D195" s="10"/>
      <c r="E195" s="10"/>
      <c r="F195" s="10"/>
      <c r="G195" s="12" t="str">
        <f aca="false">IF(D195="","",IF(OR(D195="WhatsApp",D195="Apagado"),"No","Sí"))</f>
        <v/>
      </c>
      <c r="H195" s="10"/>
      <c r="I195" s="20"/>
      <c r="J195" s="10"/>
      <c r="K195" s="1"/>
    </row>
    <row r="196" customFormat="false" ht="15" hidden="false" customHeight="false" outlineLevel="0" collapsed="false">
      <c r="A196" s="1"/>
      <c r="B196" s="15"/>
      <c r="C196" s="15"/>
      <c r="D196" s="15"/>
      <c r="E196" s="15"/>
      <c r="F196" s="15"/>
      <c r="G196" s="17" t="str">
        <f aca="false">IF(D196="","",IF(OR(D196="WhatsApp",D196="Apagado"),"No","Sí"))</f>
        <v/>
      </c>
      <c r="H196" s="15"/>
      <c r="I196" s="21"/>
      <c r="J196" s="15"/>
      <c r="K196" s="1"/>
    </row>
    <row r="197" customFormat="false" ht="15" hidden="false" customHeight="false" outlineLevel="0" collapsed="false">
      <c r="A197" s="1"/>
      <c r="B197" s="10"/>
      <c r="C197" s="10"/>
      <c r="D197" s="10"/>
      <c r="E197" s="10"/>
      <c r="F197" s="10"/>
      <c r="G197" s="12" t="str">
        <f aca="false">IF(D197="","",IF(OR(D197="WhatsApp",D197="Apagado"),"No","Sí"))</f>
        <v/>
      </c>
      <c r="H197" s="10"/>
      <c r="I197" s="20"/>
      <c r="J197" s="10"/>
      <c r="K197" s="1"/>
    </row>
    <row r="198" customFormat="false" ht="15" hidden="false" customHeight="false" outlineLevel="0" collapsed="false">
      <c r="A198" s="1"/>
      <c r="B198" s="15"/>
      <c r="C198" s="15"/>
      <c r="D198" s="15"/>
      <c r="E198" s="15"/>
      <c r="F198" s="15"/>
      <c r="G198" s="17" t="str">
        <f aca="false">IF(D198="","",IF(OR(D198="WhatsApp",D198="Apagado"),"No","Sí"))</f>
        <v/>
      </c>
      <c r="H198" s="15"/>
      <c r="I198" s="21"/>
      <c r="J198" s="15"/>
      <c r="K198" s="1"/>
    </row>
    <row r="199" customFormat="false" ht="15" hidden="false" customHeight="false" outlineLevel="0" collapsed="false">
      <c r="A199" s="1"/>
      <c r="B199" s="10"/>
      <c r="C199" s="10"/>
      <c r="D199" s="10"/>
      <c r="E199" s="10"/>
      <c r="F199" s="10"/>
      <c r="G199" s="12" t="str">
        <f aca="false">IF(D199="","",IF(OR(D199="WhatsApp",D199="Apagado"),"No","Sí"))</f>
        <v/>
      </c>
      <c r="H199" s="10"/>
      <c r="I199" s="20"/>
      <c r="J199" s="10"/>
      <c r="K199" s="1"/>
    </row>
    <row r="200" customFormat="false" ht="15" hidden="false" customHeight="false" outlineLevel="0" collapsed="false">
      <c r="A200" s="1"/>
      <c r="B200" s="15"/>
      <c r="C200" s="15"/>
      <c r="D200" s="15"/>
      <c r="E200" s="15"/>
      <c r="F200" s="15"/>
      <c r="G200" s="17" t="str">
        <f aca="false">IF(D200="","",IF(OR(D200="WhatsApp",D200="Apagado"),"No","Sí"))</f>
        <v/>
      </c>
      <c r="H200" s="15"/>
      <c r="I200" s="21"/>
      <c r="J200" s="15"/>
      <c r="K200" s="1"/>
    </row>
    <row r="201" customFormat="false" ht="15" hidden="false" customHeight="false" outlineLevel="0" collapsed="false">
      <c r="A201" s="1"/>
      <c r="B201" s="10"/>
      <c r="C201" s="10"/>
      <c r="D201" s="10"/>
      <c r="E201" s="10"/>
      <c r="F201" s="10"/>
      <c r="G201" s="12" t="str">
        <f aca="false">IF(D201="","",IF(OR(D201="WhatsApp",D201="Apagado"),"No","Sí"))</f>
        <v/>
      </c>
      <c r="H201" s="10"/>
      <c r="I201" s="20"/>
      <c r="J201" s="10"/>
      <c r="K201" s="1"/>
    </row>
    <row r="202" customFormat="false" ht="15" hidden="false" customHeight="false" outlineLevel="0" collapsed="false">
      <c r="A202" s="1"/>
      <c r="B202" s="15"/>
      <c r="C202" s="15"/>
      <c r="D202" s="15"/>
      <c r="E202" s="15"/>
      <c r="F202" s="15"/>
      <c r="G202" s="17" t="str">
        <f aca="false">IF(D202="","",IF(OR(D202="WhatsApp",D202="Apagado"),"No","Sí"))</f>
        <v/>
      </c>
      <c r="H202" s="15"/>
      <c r="I202" s="21"/>
      <c r="J202" s="15"/>
      <c r="K202" s="1"/>
    </row>
    <row r="203" customFormat="false" ht="15" hidden="false" customHeight="false" outlineLevel="0" collapsed="false">
      <c r="A203" s="1"/>
      <c r="B203" s="10"/>
      <c r="C203" s="10"/>
      <c r="D203" s="10"/>
      <c r="E203" s="10"/>
      <c r="F203" s="10"/>
      <c r="G203" s="12" t="str">
        <f aca="false">IF(D203="","",IF(OR(D203="WhatsApp",D203="Apagado"),"No","Sí"))</f>
        <v/>
      </c>
      <c r="H203" s="10"/>
      <c r="I203" s="20"/>
      <c r="J203" s="10"/>
      <c r="K203" s="1"/>
    </row>
    <row r="204" customFormat="false" ht="15" hidden="false" customHeight="false" outlineLevel="0" collapsed="false">
      <c r="A204" s="1"/>
      <c r="B204" s="15"/>
      <c r="C204" s="15"/>
      <c r="D204" s="15"/>
      <c r="E204" s="15"/>
      <c r="F204" s="15"/>
      <c r="G204" s="17" t="str">
        <f aca="false">IF(D204="","",IF(OR(D204="WhatsApp",D204="Apagado"),"No","Sí"))</f>
        <v/>
      </c>
      <c r="H204" s="15"/>
      <c r="I204" s="21"/>
      <c r="J204" s="15"/>
      <c r="K204" s="1"/>
    </row>
    <row r="205" customFormat="false" ht="15" hidden="false" customHeight="false" outlineLevel="0" collapsed="false">
      <c r="A205" s="1"/>
      <c r="B205" s="10"/>
      <c r="C205" s="10"/>
      <c r="D205" s="10"/>
      <c r="E205" s="10"/>
      <c r="F205" s="10"/>
      <c r="G205" s="12" t="str">
        <f aca="false">IF(D205="","",IF(OR(D205="WhatsApp",D205="Apagado"),"No","Sí"))</f>
        <v/>
      </c>
      <c r="H205" s="10"/>
      <c r="I205" s="20"/>
      <c r="J205" s="10"/>
      <c r="K205" s="1"/>
    </row>
    <row r="206" customFormat="false" ht="15" hidden="false" customHeight="false" outlineLevel="0" collapsed="false">
      <c r="A206" s="1"/>
      <c r="B206" s="15"/>
      <c r="C206" s="15"/>
      <c r="D206" s="15"/>
      <c r="E206" s="15"/>
      <c r="F206" s="15"/>
      <c r="G206" s="17" t="str">
        <f aca="false">IF(D206="","",IF(OR(D206="WhatsApp",D206="Apagado"),"No","Sí"))</f>
        <v/>
      </c>
      <c r="H206" s="15"/>
      <c r="I206" s="21"/>
      <c r="J206" s="15"/>
      <c r="K206" s="1"/>
    </row>
    <row r="207" customFormat="false" ht="15" hidden="false" customHeight="false" outlineLevel="0" collapsed="false">
      <c r="A207" s="1"/>
      <c r="B207" s="10"/>
      <c r="C207" s="10"/>
      <c r="D207" s="10"/>
      <c r="E207" s="10"/>
      <c r="F207" s="10"/>
      <c r="G207" s="12" t="str">
        <f aca="false">IF(D207="","",IF(OR(D207="WhatsApp",D207="Apagado"),"No","Sí"))</f>
        <v/>
      </c>
      <c r="H207" s="10"/>
      <c r="I207" s="20"/>
      <c r="J207" s="10"/>
      <c r="K207" s="1"/>
    </row>
    <row r="208" customFormat="false" ht="15" hidden="false" customHeight="false" outlineLevel="0" collapsed="false">
      <c r="A208" s="1"/>
      <c r="B208" s="15"/>
      <c r="C208" s="15"/>
      <c r="D208" s="15"/>
      <c r="E208" s="15"/>
      <c r="F208" s="15"/>
      <c r="G208" s="17" t="str">
        <f aca="false">IF(D208="","",IF(OR(D208="WhatsApp",D208="Apagado"),"No","Sí"))</f>
        <v/>
      </c>
      <c r="H208" s="15"/>
      <c r="I208" s="21"/>
      <c r="J208" s="15"/>
      <c r="K208" s="1"/>
    </row>
    <row r="209" customFormat="false" ht="15" hidden="false" customHeight="false" outlineLevel="0" collapsed="false">
      <c r="A209" s="1"/>
      <c r="B209" s="10"/>
      <c r="C209" s="10"/>
      <c r="D209" s="10"/>
      <c r="E209" s="10"/>
      <c r="F209" s="10"/>
      <c r="G209" s="12" t="str">
        <f aca="false">IF(D209="","",IF(OR(D209="WhatsApp",D209="Apagado"),"No","Sí"))</f>
        <v/>
      </c>
      <c r="H209" s="10"/>
      <c r="I209" s="20"/>
      <c r="J209" s="10"/>
      <c r="K209" s="1"/>
    </row>
    <row r="210" customFormat="false" ht="15" hidden="false" customHeight="false" outlineLevel="0" collapsed="false">
      <c r="A210" s="1"/>
      <c r="B210" s="15"/>
      <c r="C210" s="15"/>
      <c r="D210" s="15"/>
      <c r="E210" s="15"/>
      <c r="F210" s="15"/>
      <c r="G210" s="17" t="str">
        <f aca="false">IF(D210="","",IF(OR(D210="WhatsApp",D210="Apagado"),"No","Sí"))</f>
        <v/>
      </c>
      <c r="H210" s="15"/>
      <c r="I210" s="21"/>
      <c r="J210" s="15"/>
      <c r="K210" s="1"/>
    </row>
    <row r="211" customFormat="false" ht="15" hidden="false" customHeight="false" outlineLevel="0" collapsed="false">
      <c r="A211" s="1"/>
      <c r="B211" s="10"/>
      <c r="C211" s="10"/>
      <c r="D211" s="10"/>
      <c r="E211" s="10"/>
      <c r="F211" s="10"/>
      <c r="G211" s="12" t="str">
        <f aca="false">IF(D211="","",IF(OR(D211="WhatsApp",D211="Apagado"),"No","Sí"))</f>
        <v/>
      </c>
      <c r="H211" s="10"/>
      <c r="I211" s="20"/>
      <c r="J211" s="10"/>
      <c r="K211" s="1"/>
    </row>
    <row r="212" customFormat="false" ht="15" hidden="false" customHeight="false" outlineLevel="0" collapsed="false">
      <c r="A212" s="1"/>
      <c r="B212" s="15"/>
      <c r="C212" s="15"/>
      <c r="D212" s="15"/>
      <c r="E212" s="15"/>
      <c r="F212" s="15"/>
      <c r="G212" s="17" t="str">
        <f aca="false">IF(D212="","",IF(OR(D212="WhatsApp",D212="Apagado"),"No","Sí"))</f>
        <v/>
      </c>
      <c r="H212" s="15"/>
      <c r="I212" s="21"/>
      <c r="J212" s="15"/>
      <c r="K212" s="1"/>
    </row>
    <row r="213" customFormat="false" ht="15" hidden="false" customHeight="false" outlineLevel="0" collapsed="false">
      <c r="A213" s="1"/>
      <c r="B213" s="10"/>
      <c r="C213" s="10"/>
      <c r="D213" s="10"/>
      <c r="E213" s="10"/>
      <c r="F213" s="10"/>
      <c r="G213" s="12" t="str">
        <f aca="false">IF(D213="","",IF(OR(D213="WhatsApp",D213="Apagado"),"No","Sí"))</f>
        <v/>
      </c>
      <c r="H213" s="10"/>
      <c r="I213" s="20"/>
      <c r="J213" s="10"/>
      <c r="K213" s="1"/>
    </row>
    <row r="214" customFormat="false" ht="15" hidden="false" customHeight="false" outlineLevel="0" collapsed="false">
      <c r="A214" s="1"/>
      <c r="B214" s="15"/>
      <c r="C214" s="15"/>
      <c r="D214" s="15"/>
      <c r="E214" s="15"/>
      <c r="F214" s="15"/>
      <c r="G214" s="17" t="str">
        <f aca="false">IF(D214="","",IF(OR(D214="WhatsApp",D214="Apagado"),"No","Sí"))</f>
        <v/>
      </c>
      <c r="H214" s="15"/>
      <c r="I214" s="21"/>
      <c r="J214" s="15"/>
      <c r="K214" s="1"/>
    </row>
    <row r="215" customFormat="false" ht="15" hidden="false" customHeight="false" outlineLevel="0" collapsed="false">
      <c r="A215" s="1"/>
      <c r="B215" s="10"/>
      <c r="C215" s="10"/>
      <c r="D215" s="10"/>
      <c r="E215" s="10"/>
      <c r="F215" s="10"/>
      <c r="G215" s="12" t="str">
        <f aca="false">IF(D215="","",IF(OR(D215="WhatsApp",D215="Apagado"),"No","Sí"))</f>
        <v/>
      </c>
      <c r="H215" s="10"/>
      <c r="I215" s="20"/>
      <c r="J215" s="10"/>
      <c r="K215" s="1"/>
    </row>
    <row r="216" customFormat="false" ht="15" hidden="false" customHeight="false" outlineLevel="0" collapsed="false">
      <c r="A216" s="1"/>
      <c r="B216" s="15"/>
      <c r="C216" s="15"/>
      <c r="D216" s="15"/>
      <c r="E216" s="15"/>
      <c r="F216" s="15"/>
      <c r="G216" s="17" t="str">
        <f aca="false">IF(D216="","",IF(OR(D216="WhatsApp",D216="Apagado"),"No","Sí"))</f>
        <v/>
      </c>
      <c r="H216" s="15"/>
      <c r="I216" s="21"/>
      <c r="J216" s="15"/>
      <c r="K216" s="1"/>
    </row>
    <row r="217" customFormat="false" ht="15" hidden="false" customHeight="false" outlineLevel="0" collapsed="false">
      <c r="A217" s="1"/>
      <c r="B217" s="10"/>
      <c r="C217" s="10"/>
      <c r="D217" s="10"/>
      <c r="E217" s="10"/>
      <c r="F217" s="10"/>
      <c r="G217" s="12" t="str">
        <f aca="false">IF(D217="","",IF(OR(D217="WhatsApp",D217="Apagado"),"No","Sí"))</f>
        <v/>
      </c>
      <c r="H217" s="10"/>
      <c r="I217" s="20"/>
      <c r="J217" s="10"/>
      <c r="K217" s="1"/>
    </row>
    <row r="218" customFormat="false" ht="15" hidden="false" customHeight="false" outlineLevel="0" collapsed="false">
      <c r="A218" s="1"/>
      <c r="B218" s="15"/>
      <c r="C218" s="15"/>
      <c r="D218" s="15"/>
      <c r="E218" s="15"/>
      <c r="F218" s="15"/>
      <c r="G218" s="17" t="str">
        <f aca="false">IF(D218="","",IF(OR(D218="WhatsApp",D218="Apagado"),"No","Sí"))</f>
        <v/>
      </c>
      <c r="H218" s="15"/>
      <c r="I218" s="21"/>
      <c r="J218" s="15"/>
      <c r="K218" s="1"/>
    </row>
    <row r="219" customFormat="false" ht="15" hidden="false" customHeight="false" outlineLevel="0" collapsed="false">
      <c r="A219" s="1"/>
      <c r="B219" s="10"/>
      <c r="C219" s="10"/>
      <c r="D219" s="10"/>
      <c r="E219" s="10"/>
      <c r="F219" s="10"/>
      <c r="G219" s="12" t="str">
        <f aca="false">IF(D219="","",IF(OR(D219="WhatsApp",D219="Apagado"),"No","Sí"))</f>
        <v/>
      </c>
      <c r="H219" s="10"/>
      <c r="I219" s="20"/>
      <c r="J219" s="10"/>
      <c r="K219" s="1"/>
    </row>
    <row r="220" customFormat="false" ht="15" hidden="false" customHeight="false" outlineLevel="0" collapsed="false">
      <c r="A220" s="1"/>
      <c r="B220" s="15"/>
      <c r="C220" s="15"/>
      <c r="D220" s="15"/>
      <c r="E220" s="15"/>
      <c r="F220" s="15"/>
      <c r="G220" s="17" t="str">
        <f aca="false">IF(D220="","",IF(OR(D220="WhatsApp",D220="Apagado"),"No","Sí"))</f>
        <v/>
      </c>
      <c r="H220" s="15"/>
      <c r="I220" s="21"/>
      <c r="J220" s="15"/>
      <c r="K220" s="1"/>
    </row>
    <row r="221" customFormat="false" ht="15" hidden="false" customHeight="false" outlineLevel="0" collapsed="false">
      <c r="A221" s="1"/>
      <c r="B221" s="10"/>
      <c r="C221" s="10"/>
      <c r="D221" s="10"/>
      <c r="E221" s="10"/>
      <c r="F221" s="10"/>
      <c r="G221" s="12" t="str">
        <f aca="false">IF(D221="","",IF(OR(D221="WhatsApp",D221="Apagado"),"No","Sí"))</f>
        <v/>
      </c>
      <c r="H221" s="10"/>
      <c r="I221" s="20"/>
      <c r="J221" s="10"/>
      <c r="K221" s="1"/>
    </row>
    <row r="222" customFormat="false" ht="15" hidden="false" customHeight="false" outlineLevel="0" collapsed="false">
      <c r="A222" s="1"/>
      <c r="B222" s="15"/>
      <c r="C222" s="15"/>
      <c r="D222" s="15"/>
      <c r="E222" s="15"/>
      <c r="F222" s="15"/>
      <c r="G222" s="17" t="str">
        <f aca="false">IF(D222="","",IF(OR(D222="WhatsApp",D222="Apagado"),"No","Sí"))</f>
        <v/>
      </c>
      <c r="H222" s="15"/>
      <c r="I222" s="21"/>
      <c r="J222" s="15"/>
      <c r="K222" s="1"/>
    </row>
    <row r="223" customFormat="false" ht="15" hidden="false" customHeight="false" outlineLevel="0" collapsed="false">
      <c r="A223" s="1"/>
      <c r="B223" s="10"/>
      <c r="C223" s="10"/>
      <c r="D223" s="10"/>
      <c r="E223" s="10"/>
      <c r="F223" s="10"/>
      <c r="G223" s="12" t="str">
        <f aca="false">IF(D223="","",IF(OR(D223="WhatsApp",D223="Apagado"),"No","Sí"))</f>
        <v/>
      </c>
      <c r="H223" s="10"/>
      <c r="I223" s="20"/>
      <c r="J223" s="10"/>
      <c r="K223" s="1"/>
    </row>
    <row r="224" customFormat="false" ht="15" hidden="false" customHeight="false" outlineLevel="0" collapsed="false">
      <c r="A224" s="1"/>
      <c r="B224" s="15"/>
      <c r="C224" s="15"/>
      <c r="D224" s="15"/>
      <c r="E224" s="15"/>
      <c r="F224" s="15"/>
      <c r="G224" s="17" t="str">
        <f aca="false">IF(D224="","",IF(OR(D224="WhatsApp",D224="Apagado"),"No","Sí"))</f>
        <v/>
      </c>
      <c r="H224" s="15"/>
      <c r="I224" s="21"/>
      <c r="J224" s="15"/>
      <c r="K224" s="1"/>
    </row>
    <row r="225" customFormat="false" ht="15" hidden="false" customHeight="false" outlineLevel="0" collapsed="false">
      <c r="A225" s="1"/>
      <c r="B225" s="10"/>
      <c r="C225" s="10"/>
      <c r="D225" s="10"/>
      <c r="E225" s="10"/>
      <c r="F225" s="10"/>
      <c r="G225" s="12" t="str">
        <f aca="false">IF(D225="","",IF(OR(D225="WhatsApp",D225="Apagado"),"No","Sí"))</f>
        <v/>
      </c>
      <c r="H225" s="10"/>
      <c r="I225" s="20"/>
      <c r="J225" s="10"/>
      <c r="K225" s="1"/>
    </row>
    <row r="226" customFormat="false" ht="15" hidden="false" customHeight="false" outlineLevel="0" collapsed="false">
      <c r="A226" s="1"/>
      <c r="B226" s="15"/>
      <c r="C226" s="15"/>
      <c r="D226" s="15"/>
      <c r="E226" s="15"/>
      <c r="F226" s="15"/>
      <c r="G226" s="17" t="str">
        <f aca="false">IF(D226="","",IF(OR(D226="WhatsApp",D226="Apagado"),"No","Sí"))</f>
        <v/>
      </c>
      <c r="H226" s="15"/>
      <c r="I226" s="21"/>
      <c r="J226" s="15"/>
      <c r="K226" s="1"/>
    </row>
    <row r="227" customFormat="false" ht="15" hidden="false" customHeight="false" outlineLevel="0" collapsed="false">
      <c r="A227" s="1"/>
      <c r="B227" s="10"/>
      <c r="C227" s="10"/>
      <c r="D227" s="10"/>
      <c r="E227" s="10"/>
      <c r="F227" s="10"/>
      <c r="G227" s="12" t="str">
        <f aca="false">IF(D227="","",IF(OR(D227="WhatsApp",D227="Apagado"),"No","Sí"))</f>
        <v/>
      </c>
      <c r="H227" s="10"/>
      <c r="I227" s="20"/>
      <c r="J227" s="10"/>
      <c r="K227" s="1"/>
    </row>
    <row r="228" customFormat="false" ht="15" hidden="false" customHeight="false" outlineLevel="0" collapsed="false">
      <c r="A228" s="1"/>
      <c r="B228" s="15"/>
      <c r="C228" s="15"/>
      <c r="D228" s="15"/>
      <c r="E228" s="15"/>
      <c r="F228" s="15"/>
      <c r="G228" s="17" t="str">
        <f aca="false">IF(D228="","",IF(OR(D228="WhatsApp",D228="Apagado"),"No","Sí"))</f>
        <v/>
      </c>
      <c r="H228" s="15"/>
      <c r="I228" s="21"/>
      <c r="J228" s="15"/>
      <c r="K228" s="1"/>
    </row>
    <row r="229" customFormat="false" ht="15" hidden="false" customHeight="false" outlineLevel="0" collapsed="false">
      <c r="A229" s="1"/>
      <c r="B229" s="10"/>
      <c r="C229" s="10"/>
      <c r="D229" s="10"/>
      <c r="E229" s="10"/>
      <c r="F229" s="10"/>
      <c r="G229" s="12" t="str">
        <f aca="false">IF(D229="","",IF(OR(D229="WhatsApp",D229="Apagado"),"No","Sí"))</f>
        <v/>
      </c>
      <c r="H229" s="10"/>
      <c r="I229" s="20"/>
      <c r="J229" s="10"/>
      <c r="K229" s="1"/>
    </row>
    <row r="230" customFormat="false" ht="15" hidden="false" customHeight="false" outlineLevel="0" collapsed="false">
      <c r="A230" s="1"/>
      <c r="B230" s="15"/>
      <c r="C230" s="15"/>
      <c r="D230" s="15"/>
      <c r="E230" s="15"/>
      <c r="F230" s="15"/>
      <c r="G230" s="17" t="str">
        <f aca="false">IF(D230="","",IF(OR(D230="WhatsApp",D230="Apagado"),"No","Sí"))</f>
        <v/>
      </c>
      <c r="H230" s="15"/>
      <c r="I230" s="21"/>
      <c r="J230" s="15"/>
      <c r="K230" s="1"/>
    </row>
    <row r="231" customFormat="false" ht="15" hidden="false" customHeight="false" outlineLevel="0" collapsed="false">
      <c r="A231" s="1"/>
      <c r="B231" s="10"/>
      <c r="C231" s="10"/>
      <c r="D231" s="10"/>
      <c r="E231" s="10"/>
      <c r="F231" s="10"/>
      <c r="G231" s="12" t="str">
        <f aca="false">IF(D231="","",IF(OR(D231="WhatsApp",D231="Apagado"),"No","Sí"))</f>
        <v/>
      </c>
      <c r="H231" s="10"/>
      <c r="I231" s="20"/>
      <c r="J231" s="10"/>
      <c r="K231" s="1"/>
    </row>
    <row r="232" customFormat="false" ht="15" hidden="false" customHeight="false" outlineLevel="0" collapsed="false">
      <c r="A232" s="1"/>
      <c r="B232" s="15"/>
      <c r="C232" s="15"/>
      <c r="D232" s="15"/>
      <c r="E232" s="15"/>
      <c r="F232" s="15"/>
      <c r="G232" s="17" t="str">
        <f aca="false">IF(D232="","",IF(OR(D232="WhatsApp",D232="Apagado"),"No","Sí"))</f>
        <v/>
      </c>
      <c r="H232" s="15"/>
      <c r="I232" s="21"/>
      <c r="J232" s="15"/>
      <c r="K232" s="1"/>
    </row>
    <row r="233" customFormat="false" ht="15" hidden="false" customHeight="false" outlineLevel="0" collapsed="false">
      <c r="A233" s="1"/>
      <c r="B233" s="10"/>
      <c r="C233" s="10"/>
      <c r="D233" s="10"/>
      <c r="E233" s="10"/>
      <c r="F233" s="10"/>
      <c r="G233" s="12" t="str">
        <f aca="false">IF(D233="","",IF(OR(D233="WhatsApp",D233="Apagado"),"No","Sí"))</f>
        <v/>
      </c>
      <c r="H233" s="10"/>
      <c r="I233" s="20"/>
      <c r="J233" s="10"/>
      <c r="K233" s="1"/>
    </row>
    <row r="234" customFormat="false" ht="15" hidden="false" customHeight="false" outlineLevel="0" collapsed="false">
      <c r="A234" s="1"/>
      <c r="B234" s="15"/>
      <c r="C234" s="15"/>
      <c r="D234" s="15"/>
      <c r="E234" s="15"/>
      <c r="F234" s="15"/>
      <c r="G234" s="17" t="str">
        <f aca="false">IF(D234="","",IF(OR(D234="WhatsApp",D234="Apagado"),"No","Sí"))</f>
        <v/>
      </c>
      <c r="H234" s="15"/>
      <c r="I234" s="21"/>
      <c r="J234" s="15"/>
      <c r="K234" s="1"/>
    </row>
    <row r="235" customFormat="false" ht="15" hidden="false" customHeight="false" outlineLevel="0" collapsed="false">
      <c r="A235" s="1"/>
      <c r="B235" s="10"/>
      <c r="C235" s="10"/>
      <c r="D235" s="10"/>
      <c r="E235" s="10"/>
      <c r="F235" s="10"/>
      <c r="G235" s="12" t="str">
        <f aca="false">IF(D235="","",IF(OR(D235="WhatsApp",D235="Apagado"),"No","Sí"))</f>
        <v/>
      </c>
      <c r="H235" s="10"/>
      <c r="I235" s="20"/>
      <c r="J235" s="10"/>
      <c r="K235" s="1"/>
    </row>
    <row r="236" customFormat="false" ht="15" hidden="false" customHeight="false" outlineLevel="0" collapsed="false">
      <c r="A236" s="1"/>
      <c r="B236" s="15"/>
      <c r="C236" s="15"/>
      <c r="D236" s="15"/>
      <c r="E236" s="15"/>
      <c r="F236" s="15"/>
      <c r="G236" s="17" t="str">
        <f aca="false">IF(D236="","",IF(OR(D236="WhatsApp",D236="Apagado"),"No","Sí"))</f>
        <v/>
      </c>
      <c r="H236" s="15"/>
      <c r="I236" s="21"/>
      <c r="J236" s="15"/>
      <c r="K236" s="1"/>
    </row>
    <row r="237" customFormat="false" ht="15" hidden="false" customHeight="false" outlineLevel="0" collapsed="false">
      <c r="A237" s="1"/>
      <c r="B237" s="10"/>
      <c r="C237" s="10"/>
      <c r="D237" s="10"/>
      <c r="E237" s="10"/>
      <c r="F237" s="10"/>
      <c r="G237" s="12" t="str">
        <f aca="false">IF(D237="","",IF(OR(D237="WhatsApp",D237="Apagado"),"No","Sí"))</f>
        <v/>
      </c>
      <c r="H237" s="10"/>
      <c r="I237" s="20"/>
      <c r="J237" s="10"/>
      <c r="K237" s="1"/>
    </row>
    <row r="238" customFormat="false" ht="15" hidden="false" customHeight="false" outlineLevel="0" collapsed="false">
      <c r="A238" s="1"/>
      <c r="B238" s="15"/>
      <c r="C238" s="15"/>
      <c r="D238" s="15"/>
      <c r="E238" s="15"/>
      <c r="F238" s="15"/>
      <c r="G238" s="17" t="str">
        <f aca="false">IF(D238="","",IF(OR(D238="WhatsApp",D238="Apagado"),"No","Sí"))</f>
        <v/>
      </c>
      <c r="H238" s="15"/>
      <c r="I238" s="21"/>
      <c r="J238" s="15"/>
      <c r="K238" s="1"/>
    </row>
    <row r="239" customFormat="false" ht="15" hidden="false" customHeight="false" outlineLevel="0" collapsed="false">
      <c r="A239" s="1"/>
      <c r="B239" s="10"/>
      <c r="C239" s="10"/>
      <c r="D239" s="10"/>
      <c r="E239" s="10"/>
      <c r="F239" s="10"/>
      <c r="G239" s="12" t="str">
        <f aca="false">IF(D239="","",IF(OR(D239="WhatsApp",D239="Apagado"),"No","Sí"))</f>
        <v/>
      </c>
      <c r="H239" s="10"/>
      <c r="I239" s="20"/>
      <c r="J239" s="10"/>
      <c r="K239" s="1"/>
    </row>
    <row r="240" customFormat="false" ht="15" hidden="false" customHeight="false" outlineLevel="0" collapsed="false">
      <c r="A240" s="1"/>
      <c r="B240" s="15"/>
      <c r="C240" s="15"/>
      <c r="D240" s="15"/>
      <c r="E240" s="15"/>
      <c r="F240" s="15"/>
      <c r="G240" s="17" t="str">
        <f aca="false">IF(D240="","",IF(OR(D240="WhatsApp",D240="Apagado"),"No","Sí"))</f>
        <v/>
      </c>
      <c r="H240" s="15"/>
      <c r="I240" s="21"/>
      <c r="J240" s="15"/>
      <c r="K240" s="1"/>
    </row>
    <row r="241" customFormat="false" ht="15" hidden="false" customHeight="false" outlineLevel="0" collapsed="false">
      <c r="A241" s="1"/>
      <c r="B241" s="10"/>
      <c r="C241" s="10"/>
      <c r="D241" s="10"/>
      <c r="E241" s="10"/>
      <c r="F241" s="10"/>
      <c r="G241" s="12" t="str">
        <f aca="false">IF(D241="","",IF(OR(D241="WhatsApp",D241="Apagado"),"No","Sí"))</f>
        <v/>
      </c>
      <c r="H241" s="10"/>
      <c r="I241" s="20"/>
      <c r="J241" s="10"/>
      <c r="K241" s="1"/>
    </row>
    <row r="242" customFormat="false" ht="15" hidden="false" customHeight="false" outlineLevel="0" collapsed="false">
      <c r="A242" s="1"/>
      <c r="B242" s="15"/>
      <c r="C242" s="15"/>
      <c r="D242" s="15"/>
      <c r="E242" s="15"/>
      <c r="F242" s="15"/>
      <c r="G242" s="17" t="str">
        <f aca="false">IF(D242="","",IF(OR(D242="WhatsApp",D242="Apagado"),"No","Sí"))</f>
        <v/>
      </c>
      <c r="H242" s="15"/>
      <c r="I242" s="21"/>
      <c r="J242" s="15"/>
      <c r="K242" s="1"/>
    </row>
    <row r="243" customFormat="false" ht="15" hidden="false" customHeight="false" outlineLevel="0" collapsed="false">
      <c r="A243" s="1"/>
      <c r="B243" s="10"/>
      <c r="C243" s="10"/>
      <c r="D243" s="10"/>
      <c r="E243" s="10"/>
      <c r="F243" s="10"/>
      <c r="G243" s="12" t="str">
        <f aca="false">IF(D243="","",IF(OR(D243="WhatsApp",D243="Apagado"),"No","Sí"))</f>
        <v/>
      </c>
      <c r="H243" s="10"/>
      <c r="I243" s="20"/>
      <c r="J243" s="10"/>
      <c r="K243" s="1"/>
    </row>
    <row r="244" customFormat="false" ht="15" hidden="false" customHeight="false" outlineLevel="0" collapsed="false">
      <c r="A244" s="1"/>
      <c r="B244" s="15"/>
      <c r="C244" s="15"/>
      <c r="D244" s="15"/>
      <c r="E244" s="15"/>
      <c r="F244" s="15"/>
      <c r="G244" s="17" t="str">
        <f aca="false">IF(D244="","",IF(OR(D244="WhatsApp",D244="Apagado"),"No","Sí"))</f>
        <v/>
      </c>
      <c r="H244" s="15"/>
      <c r="I244" s="21"/>
      <c r="J244" s="15"/>
      <c r="K244" s="1"/>
    </row>
    <row r="245" customFormat="false" ht="15" hidden="false" customHeight="false" outlineLevel="0" collapsed="false">
      <c r="A245" s="1"/>
      <c r="B245" s="10"/>
      <c r="C245" s="10"/>
      <c r="D245" s="10"/>
      <c r="E245" s="10"/>
      <c r="F245" s="10"/>
      <c r="G245" s="12" t="str">
        <f aca="false">IF(D245="","",IF(OR(D245="WhatsApp",D245="Apagado"),"No","Sí"))</f>
        <v/>
      </c>
      <c r="H245" s="10"/>
      <c r="I245" s="20"/>
      <c r="J245" s="10"/>
      <c r="K245" s="1"/>
    </row>
    <row r="246" customFormat="false" ht="15" hidden="false" customHeight="false" outlineLevel="0" collapsed="false">
      <c r="A246" s="1"/>
      <c r="B246" s="15"/>
      <c r="C246" s="15"/>
      <c r="D246" s="15"/>
      <c r="E246" s="15"/>
      <c r="F246" s="15"/>
      <c r="G246" s="17" t="str">
        <f aca="false">IF(D246="","",IF(OR(D246="WhatsApp",D246="Apagado"),"No","Sí"))</f>
        <v/>
      </c>
      <c r="H246" s="15"/>
      <c r="I246" s="21"/>
      <c r="J246" s="15"/>
      <c r="K246" s="1"/>
    </row>
    <row r="247" customFormat="false" ht="15" hidden="false" customHeight="false" outlineLevel="0" collapsed="false">
      <c r="A247" s="1"/>
      <c r="B247" s="10"/>
      <c r="C247" s="10"/>
      <c r="D247" s="10"/>
      <c r="E247" s="10"/>
      <c r="F247" s="10"/>
      <c r="G247" s="12" t="str">
        <f aca="false">IF(D247="","",IF(OR(D247="WhatsApp",D247="Apagado"),"No","Sí"))</f>
        <v/>
      </c>
      <c r="H247" s="10"/>
      <c r="I247" s="20"/>
      <c r="J247" s="10"/>
      <c r="K247" s="1"/>
    </row>
    <row r="248" customFormat="false" ht="15" hidden="false" customHeight="false" outlineLevel="0" collapsed="false">
      <c r="A248" s="1"/>
      <c r="B248" s="15"/>
      <c r="C248" s="15"/>
      <c r="D248" s="15"/>
      <c r="E248" s="15"/>
      <c r="F248" s="15"/>
      <c r="G248" s="17" t="str">
        <f aca="false">IF(D248="","",IF(OR(D248="WhatsApp",D248="Apagado"),"No","Sí"))</f>
        <v/>
      </c>
      <c r="H248" s="15"/>
      <c r="I248" s="21"/>
      <c r="J248" s="15"/>
      <c r="K248" s="1"/>
    </row>
    <row r="249" customFormat="false" ht="15" hidden="false" customHeight="false" outlineLevel="0" collapsed="false">
      <c r="A249" s="1"/>
      <c r="B249" s="10"/>
      <c r="C249" s="10"/>
      <c r="D249" s="10"/>
      <c r="E249" s="10"/>
      <c r="F249" s="10"/>
      <c r="G249" s="12" t="str">
        <f aca="false">IF(D249="","",IF(OR(D249="WhatsApp",D249="Apagado"),"No","Sí"))</f>
        <v/>
      </c>
      <c r="H249" s="10"/>
      <c r="I249" s="20"/>
      <c r="J249" s="10"/>
      <c r="K249" s="1"/>
    </row>
    <row r="250" customFormat="false" ht="15" hidden="false" customHeight="false" outlineLevel="0" collapsed="false">
      <c r="A250" s="1"/>
      <c r="B250" s="15"/>
      <c r="C250" s="15"/>
      <c r="D250" s="15"/>
      <c r="E250" s="15"/>
      <c r="F250" s="15"/>
      <c r="G250" s="17" t="str">
        <f aca="false">IF(D250="","",IF(OR(D250="WhatsApp",D250="Apagado"),"No","Sí"))</f>
        <v/>
      </c>
      <c r="H250" s="15"/>
      <c r="I250" s="21"/>
      <c r="J250" s="15"/>
      <c r="K250" s="1"/>
    </row>
    <row r="251" customFormat="false" ht="15" hidden="false" customHeight="false" outlineLevel="0" collapsed="false">
      <c r="A251" s="1"/>
      <c r="B251" s="10"/>
      <c r="C251" s="10"/>
      <c r="D251" s="10"/>
      <c r="E251" s="10"/>
      <c r="F251" s="10"/>
      <c r="G251" s="12" t="str">
        <f aca="false">IF(D251="","",IF(OR(D251="WhatsApp",D251="Apagado"),"No","Sí"))</f>
        <v/>
      </c>
      <c r="H251" s="10"/>
      <c r="I251" s="20"/>
      <c r="J251" s="10"/>
      <c r="K251" s="1"/>
    </row>
    <row r="252" customFormat="false" ht="15" hidden="false" customHeight="false" outlineLevel="0" collapsed="false">
      <c r="A252" s="1"/>
      <c r="B252" s="15"/>
      <c r="C252" s="15"/>
      <c r="D252" s="15"/>
      <c r="E252" s="15"/>
      <c r="F252" s="15"/>
      <c r="G252" s="17" t="str">
        <f aca="false">IF(D252="","",IF(OR(D252="WhatsApp",D252="Apagado"),"No","Sí"))</f>
        <v/>
      </c>
      <c r="H252" s="15"/>
      <c r="I252" s="21"/>
      <c r="J252" s="15"/>
      <c r="K252" s="1"/>
    </row>
    <row r="253" customFormat="false" ht="15" hidden="false" customHeight="false" outlineLevel="0" collapsed="false">
      <c r="A253" s="1"/>
      <c r="B253" s="10"/>
      <c r="C253" s="10"/>
      <c r="D253" s="10"/>
      <c r="E253" s="10"/>
      <c r="F253" s="10"/>
      <c r="G253" s="12" t="str">
        <f aca="false">IF(D253="","",IF(OR(D253="WhatsApp",D253="Apagado"),"No","Sí"))</f>
        <v/>
      </c>
      <c r="H253" s="10"/>
      <c r="I253" s="20"/>
      <c r="J253" s="10"/>
      <c r="K253" s="1"/>
    </row>
    <row r="254" customFormat="false" ht="15" hidden="false" customHeight="false" outlineLevel="0" collapsed="false">
      <c r="A254" s="1"/>
      <c r="B254" s="15"/>
      <c r="C254" s="15"/>
      <c r="D254" s="15"/>
      <c r="E254" s="15"/>
      <c r="F254" s="15"/>
      <c r="G254" s="17" t="str">
        <f aca="false">IF(D254="","",IF(OR(D254="WhatsApp",D254="Apagado"),"No","Sí"))</f>
        <v/>
      </c>
      <c r="H254" s="15"/>
      <c r="I254" s="21"/>
      <c r="J254" s="15"/>
      <c r="K254" s="1"/>
    </row>
    <row r="255" customFormat="false" ht="15" hidden="false" customHeight="false" outlineLevel="0" collapsed="false">
      <c r="A255" s="1"/>
      <c r="B255" s="10"/>
      <c r="C255" s="10"/>
      <c r="D255" s="10"/>
      <c r="E255" s="10"/>
      <c r="F255" s="10"/>
      <c r="G255" s="12" t="str">
        <f aca="false">IF(D255="","",IF(OR(D255="WhatsApp",D255="Apagado"),"No","Sí"))</f>
        <v/>
      </c>
      <c r="H255" s="10"/>
      <c r="I255" s="20"/>
      <c r="J255" s="10"/>
      <c r="K255" s="1"/>
    </row>
    <row r="256" customFormat="false" ht="15" hidden="false" customHeight="false" outlineLevel="0" collapsed="false">
      <c r="A256" s="1"/>
      <c r="B256" s="15"/>
      <c r="C256" s="15"/>
      <c r="D256" s="15"/>
      <c r="E256" s="15"/>
      <c r="F256" s="15"/>
      <c r="G256" s="17" t="str">
        <f aca="false">IF(D256="","",IF(OR(D256="WhatsApp",D256="Apagado"),"No","Sí"))</f>
        <v/>
      </c>
      <c r="H256" s="15"/>
      <c r="I256" s="21"/>
      <c r="J256" s="15"/>
      <c r="K256" s="1"/>
    </row>
    <row r="257" customFormat="false" ht="15" hidden="false" customHeight="false" outlineLevel="0" collapsed="false">
      <c r="A257" s="1"/>
      <c r="B257" s="10"/>
      <c r="C257" s="10"/>
      <c r="D257" s="10"/>
      <c r="E257" s="10"/>
      <c r="F257" s="10"/>
      <c r="G257" s="12" t="str">
        <f aca="false">IF(D257="","",IF(OR(D257="WhatsApp",D257="Apagado"),"No","Sí"))</f>
        <v/>
      </c>
      <c r="H257" s="10"/>
      <c r="I257" s="20"/>
      <c r="J257" s="10"/>
      <c r="K257" s="1"/>
    </row>
    <row r="258" customFormat="false" ht="15" hidden="false" customHeight="false" outlineLevel="0" collapsed="false">
      <c r="A258" s="1"/>
      <c r="B258" s="15"/>
      <c r="C258" s="15"/>
      <c r="D258" s="15"/>
      <c r="E258" s="15"/>
      <c r="F258" s="15"/>
      <c r="G258" s="17" t="str">
        <f aca="false">IF(D258="","",IF(OR(D258="WhatsApp",D258="Apagado"),"No","Sí"))</f>
        <v/>
      </c>
      <c r="H258" s="15"/>
      <c r="I258" s="21"/>
      <c r="J258" s="15"/>
      <c r="K258" s="1"/>
    </row>
    <row r="259" customFormat="false" ht="15" hidden="false" customHeight="false" outlineLevel="0" collapsed="false">
      <c r="A259" s="1"/>
      <c r="B259" s="10"/>
      <c r="C259" s="10"/>
      <c r="D259" s="10"/>
      <c r="E259" s="10"/>
      <c r="F259" s="10"/>
      <c r="G259" s="12" t="str">
        <f aca="false">IF(D259="","",IF(OR(D259="WhatsApp",D259="Apagado"),"No","Sí"))</f>
        <v/>
      </c>
      <c r="H259" s="10"/>
      <c r="I259" s="20"/>
      <c r="J259" s="10"/>
      <c r="K259" s="1"/>
    </row>
    <row r="260" customFormat="false" ht="15" hidden="false" customHeight="false" outlineLevel="0" collapsed="false">
      <c r="A260" s="1"/>
      <c r="B260" s="15"/>
      <c r="C260" s="15"/>
      <c r="D260" s="15"/>
      <c r="E260" s="15"/>
      <c r="F260" s="15"/>
      <c r="G260" s="17" t="str">
        <f aca="false">IF(D260="","",IF(OR(D260="WhatsApp",D260="Apagado"),"No","Sí"))</f>
        <v/>
      </c>
      <c r="H260" s="15"/>
      <c r="I260" s="21"/>
      <c r="J260" s="15"/>
      <c r="K260" s="1"/>
    </row>
    <row r="261" customFormat="false" ht="15" hidden="false" customHeight="false" outlineLevel="0" collapsed="false">
      <c r="A261" s="1"/>
      <c r="B261" s="10"/>
      <c r="C261" s="10"/>
      <c r="D261" s="10"/>
      <c r="E261" s="10"/>
      <c r="F261" s="10"/>
      <c r="G261" s="12" t="str">
        <f aca="false">IF(D261="","",IF(OR(D261="WhatsApp",D261="Apagado"),"No","Sí"))</f>
        <v/>
      </c>
      <c r="H261" s="10"/>
      <c r="I261" s="20"/>
      <c r="J261" s="10"/>
      <c r="K261" s="1"/>
    </row>
    <row r="262" customFormat="false" ht="15" hidden="false" customHeight="false" outlineLevel="0" collapsed="false">
      <c r="A262" s="1"/>
      <c r="B262" s="15"/>
      <c r="C262" s="15"/>
      <c r="D262" s="15"/>
      <c r="E262" s="15"/>
      <c r="F262" s="15"/>
      <c r="G262" s="17" t="str">
        <f aca="false">IF(D262="","",IF(OR(D262="WhatsApp",D262="Apagado"),"No","Sí"))</f>
        <v/>
      </c>
      <c r="H262" s="15"/>
      <c r="I262" s="21"/>
      <c r="J262" s="15"/>
      <c r="K262" s="1"/>
    </row>
    <row r="263" customFormat="false" ht="15" hidden="false" customHeight="false" outlineLevel="0" collapsed="false">
      <c r="A263" s="1"/>
      <c r="B263" s="10"/>
      <c r="C263" s="10"/>
      <c r="D263" s="10"/>
      <c r="E263" s="10"/>
      <c r="F263" s="10"/>
      <c r="G263" s="12" t="str">
        <f aca="false">IF(D263="","",IF(OR(D263="WhatsApp",D263="Apagado"),"No","Sí"))</f>
        <v/>
      </c>
      <c r="H263" s="10"/>
      <c r="I263" s="20"/>
      <c r="J263" s="10"/>
      <c r="K263" s="1"/>
    </row>
    <row r="264" customFormat="false" ht="15" hidden="false" customHeight="false" outlineLevel="0" collapsed="false">
      <c r="A264" s="1"/>
      <c r="B264" s="15"/>
      <c r="C264" s="15"/>
      <c r="D264" s="15"/>
      <c r="E264" s="15"/>
      <c r="F264" s="15"/>
      <c r="G264" s="17" t="str">
        <f aca="false">IF(D264="","",IF(OR(D264="WhatsApp",D264="Apagado"),"No","Sí"))</f>
        <v/>
      </c>
      <c r="H264" s="15"/>
      <c r="I264" s="21"/>
      <c r="J264" s="15"/>
      <c r="K264" s="1"/>
    </row>
    <row r="265" customFormat="false" ht="15" hidden="false" customHeight="false" outlineLevel="0" collapsed="false">
      <c r="A265" s="1"/>
      <c r="B265" s="10"/>
      <c r="C265" s="10"/>
      <c r="D265" s="10"/>
      <c r="E265" s="10"/>
      <c r="F265" s="10"/>
      <c r="G265" s="12" t="str">
        <f aca="false">IF(D265="","",IF(OR(D265="WhatsApp",D265="Apagado"),"No","Sí"))</f>
        <v/>
      </c>
      <c r="H265" s="10"/>
      <c r="I265" s="20"/>
      <c r="J265" s="10"/>
      <c r="K265" s="1"/>
    </row>
    <row r="266" customFormat="false" ht="15" hidden="false" customHeight="false" outlineLevel="0" collapsed="false">
      <c r="A266" s="1"/>
      <c r="B266" s="15"/>
      <c r="C266" s="15"/>
      <c r="D266" s="15"/>
      <c r="E266" s="15"/>
      <c r="F266" s="15"/>
      <c r="G266" s="17" t="str">
        <f aca="false">IF(D266="","",IF(OR(D266="WhatsApp",D266="Apagado"),"No","Sí"))</f>
        <v/>
      </c>
      <c r="H266" s="15"/>
      <c r="I266" s="21"/>
      <c r="J266" s="15"/>
      <c r="K266" s="1"/>
    </row>
    <row r="267" customFormat="false" ht="15" hidden="false" customHeight="false" outlineLevel="0" collapsed="false">
      <c r="A267" s="1"/>
      <c r="B267" s="10"/>
      <c r="C267" s="10"/>
      <c r="D267" s="10"/>
      <c r="E267" s="10"/>
      <c r="F267" s="10"/>
      <c r="G267" s="12" t="str">
        <f aca="false">IF(D267="","",IF(OR(D267="WhatsApp",D267="Apagado"),"No","Sí"))</f>
        <v/>
      </c>
      <c r="H267" s="10"/>
      <c r="I267" s="20"/>
      <c r="J267" s="10"/>
      <c r="K267" s="1"/>
    </row>
    <row r="268" customFormat="false" ht="15" hidden="false" customHeight="false" outlineLevel="0" collapsed="false">
      <c r="A268" s="1"/>
      <c r="B268" s="15"/>
      <c r="C268" s="15"/>
      <c r="D268" s="15"/>
      <c r="E268" s="15"/>
      <c r="F268" s="15"/>
      <c r="G268" s="17" t="str">
        <f aca="false">IF(D268="","",IF(OR(D268="WhatsApp",D268="Apagado"),"No","Sí"))</f>
        <v/>
      </c>
      <c r="H268" s="15"/>
      <c r="I268" s="21"/>
      <c r="J268" s="15"/>
      <c r="K268" s="1"/>
    </row>
    <row r="269" customFormat="false" ht="15" hidden="false" customHeight="false" outlineLevel="0" collapsed="false">
      <c r="A269" s="1"/>
      <c r="B269" s="10"/>
      <c r="C269" s="10"/>
      <c r="D269" s="10"/>
      <c r="E269" s="10"/>
      <c r="F269" s="10"/>
      <c r="G269" s="12" t="str">
        <f aca="false">IF(D269="","",IF(OR(D269="WhatsApp",D269="Apagado"),"No","Sí"))</f>
        <v/>
      </c>
      <c r="H269" s="10"/>
      <c r="I269" s="20"/>
      <c r="J269" s="10"/>
      <c r="K269" s="1"/>
    </row>
    <row r="270" customFormat="false" ht="15" hidden="false" customHeight="false" outlineLevel="0" collapsed="false">
      <c r="A270" s="1"/>
      <c r="B270" s="15"/>
      <c r="C270" s="15"/>
      <c r="D270" s="15"/>
      <c r="E270" s="15"/>
      <c r="F270" s="15"/>
      <c r="G270" s="17" t="str">
        <f aca="false">IF(D270="","",IF(OR(D270="WhatsApp",D270="Apagado"),"No","Sí"))</f>
        <v/>
      </c>
      <c r="H270" s="15"/>
      <c r="I270" s="21"/>
      <c r="J270" s="15"/>
      <c r="K270" s="1"/>
    </row>
    <row r="271" customFormat="false" ht="15" hidden="false" customHeight="false" outlineLevel="0" collapsed="false">
      <c r="A271" s="1"/>
      <c r="B271" s="10"/>
      <c r="C271" s="10"/>
      <c r="D271" s="10"/>
      <c r="E271" s="10"/>
      <c r="F271" s="10"/>
      <c r="G271" s="12" t="str">
        <f aca="false">IF(D271="","",IF(OR(D271="WhatsApp",D271="Apagado"),"No","Sí"))</f>
        <v/>
      </c>
      <c r="H271" s="10"/>
      <c r="I271" s="20"/>
      <c r="J271" s="10"/>
      <c r="K271" s="1"/>
    </row>
    <row r="272" customFormat="false" ht="15" hidden="false" customHeight="false" outlineLevel="0" collapsed="false">
      <c r="A272" s="1"/>
      <c r="B272" s="15"/>
      <c r="C272" s="15"/>
      <c r="D272" s="15"/>
      <c r="E272" s="15"/>
      <c r="F272" s="15"/>
      <c r="G272" s="17" t="str">
        <f aca="false">IF(D272="","",IF(OR(D272="WhatsApp",D272="Apagado"),"No","Sí"))</f>
        <v/>
      </c>
      <c r="H272" s="15"/>
      <c r="I272" s="21"/>
      <c r="J272" s="15"/>
      <c r="K272" s="1"/>
    </row>
    <row r="273" customFormat="false" ht="15" hidden="false" customHeight="false" outlineLevel="0" collapsed="false">
      <c r="A273" s="1"/>
      <c r="B273" s="10"/>
      <c r="C273" s="10"/>
      <c r="D273" s="10"/>
      <c r="E273" s="10"/>
      <c r="F273" s="10"/>
      <c r="G273" s="12" t="str">
        <f aca="false">IF(D273="","",IF(OR(D273="WhatsApp",D273="Apagado"),"No","Sí"))</f>
        <v/>
      </c>
      <c r="H273" s="10"/>
      <c r="I273" s="20"/>
      <c r="J273" s="10"/>
      <c r="K273" s="1"/>
    </row>
    <row r="274" customFormat="false" ht="15" hidden="false" customHeight="false" outlineLevel="0" collapsed="false">
      <c r="A274" s="1"/>
      <c r="B274" s="15"/>
      <c r="C274" s="15"/>
      <c r="D274" s="15"/>
      <c r="E274" s="15"/>
      <c r="F274" s="15"/>
      <c r="G274" s="17" t="str">
        <f aca="false">IF(D274="","",IF(OR(D274="WhatsApp",D274="Apagado"),"No","Sí"))</f>
        <v/>
      </c>
      <c r="H274" s="15"/>
      <c r="I274" s="21"/>
      <c r="J274" s="15"/>
      <c r="K274" s="1"/>
    </row>
    <row r="275" customFormat="false" ht="15" hidden="false" customHeight="false" outlineLevel="0" collapsed="false">
      <c r="A275" s="1"/>
      <c r="B275" s="10"/>
      <c r="C275" s="10"/>
      <c r="D275" s="10"/>
      <c r="E275" s="10"/>
      <c r="F275" s="10"/>
      <c r="G275" s="12" t="str">
        <f aca="false">IF(D275="","",IF(OR(D275="WhatsApp",D275="Apagado"),"No","Sí"))</f>
        <v/>
      </c>
      <c r="H275" s="10"/>
      <c r="I275" s="20"/>
      <c r="J275" s="10"/>
      <c r="K275" s="1"/>
    </row>
    <row r="276" customFormat="false" ht="15" hidden="false" customHeight="false" outlineLevel="0" collapsed="false">
      <c r="A276" s="1"/>
      <c r="B276" s="15"/>
      <c r="C276" s="15"/>
      <c r="D276" s="15"/>
      <c r="E276" s="15"/>
      <c r="F276" s="15"/>
      <c r="G276" s="17" t="str">
        <f aca="false">IF(D276="","",IF(OR(D276="WhatsApp",D276="Apagado"),"No","Sí"))</f>
        <v/>
      </c>
      <c r="H276" s="15"/>
      <c r="I276" s="21"/>
      <c r="J276" s="15"/>
      <c r="K276" s="1"/>
    </row>
    <row r="277" customFormat="false" ht="15" hidden="false" customHeight="false" outlineLevel="0" collapsed="false">
      <c r="A277" s="1"/>
      <c r="B277" s="10"/>
      <c r="C277" s="10"/>
      <c r="D277" s="10"/>
      <c r="E277" s="10"/>
      <c r="F277" s="10"/>
      <c r="G277" s="12" t="str">
        <f aca="false">IF(D277="","",IF(OR(D277="WhatsApp",D277="Apagado"),"No","Sí"))</f>
        <v/>
      </c>
      <c r="H277" s="10"/>
      <c r="I277" s="20"/>
      <c r="J277" s="10"/>
      <c r="K277" s="1"/>
    </row>
    <row r="278" customFormat="false" ht="15" hidden="false" customHeight="false" outlineLevel="0" collapsed="false">
      <c r="A278" s="1"/>
      <c r="B278" s="15"/>
      <c r="C278" s="15"/>
      <c r="D278" s="15"/>
      <c r="E278" s="15"/>
      <c r="F278" s="15"/>
      <c r="G278" s="17" t="str">
        <f aca="false">IF(D278="","",IF(OR(D278="WhatsApp",D278="Apagado"),"No","Sí"))</f>
        <v/>
      </c>
      <c r="H278" s="15"/>
      <c r="I278" s="21"/>
      <c r="J278" s="15"/>
      <c r="K278" s="1"/>
    </row>
    <row r="279" customFormat="false" ht="15" hidden="false" customHeight="false" outlineLevel="0" collapsed="false">
      <c r="A279" s="1"/>
      <c r="B279" s="10"/>
      <c r="C279" s="10"/>
      <c r="D279" s="10"/>
      <c r="E279" s="10"/>
      <c r="F279" s="10"/>
      <c r="G279" s="12" t="str">
        <f aca="false">IF(D279="","",IF(OR(D279="WhatsApp",D279="Apagado"),"No","Sí"))</f>
        <v/>
      </c>
      <c r="H279" s="10"/>
      <c r="I279" s="20"/>
      <c r="J279" s="10"/>
      <c r="K279" s="1"/>
    </row>
    <row r="280" customFormat="false" ht="15" hidden="false" customHeight="false" outlineLevel="0" collapsed="false">
      <c r="A280" s="1"/>
      <c r="B280" s="15"/>
      <c r="C280" s="15"/>
      <c r="D280" s="15"/>
      <c r="E280" s="15"/>
      <c r="F280" s="15"/>
      <c r="G280" s="17" t="str">
        <f aca="false">IF(D280="","",IF(OR(D280="WhatsApp",D280="Apagado"),"No","Sí"))</f>
        <v/>
      </c>
      <c r="H280" s="15"/>
      <c r="I280" s="21"/>
      <c r="J280" s="15"/>
      <c r="K280" s="1"/>
    </row>
    <row r="281" customFormat="false" ht="15" hidden="false" customHeight="false" outlineLevel="0" collapsed="false">
      <c r="A281" s="1"/>
      <c r="B281" s="10"/>
      <c r="C281" s="10"/>
      <c r="D281" s="10"/>
      <c r="E281" s="10"/>
      <c r="F281" s="10"/>
      <c r="G281" s="12" t="str">
        <f aca="false">IF(D281="","",IF(OR(D281="WhatsApp",D281="Apagado"),"No","Sí"))</f>
        <v/>
      </c>
      <c r="H281" s="10"/>
      <c r="I281" s="20"/>
      <c r="J281" s="10"/>
      <c r="K281" s="1"/>
    </row>
    <row r="282" customFormat="false" ht="15" hidden="false" customHeight="false" outlineLevel="0" collapsed="false">
      <c r="A282" s="1"/>
      <c r="B282" s="15"/>
      <c r="C282" s="15"/>
      <c r="D282" s="15"/>
      <c r="E282" s="15"/>
      <c r="F282" s="15"/>
      <c r="G282" s="17" t="str">
        <f aca="false">IF(D282="","",IF(OR(D282="WhatsApp",D282="Apagado"),"No","Sí"))</f>
        <v/>
      </c>
      <c r="H282" s="15"/>
      <c r="I282" s="21"/>
      <c r="J282" s="15"/>
      <c r="K282" s="1"/>
    </row>
    <row r="283" customFormat="false" ht="15" hidden="false" customHeight="false" outlineLevel="0" collapsed="false">
      <c r="A283" s="1"/>
      <c r="B283" s="10"/>
      <c r="C283" s="10"/>
      <c r="D283" s="10"/>
      <c r="E283" s="10"/>
      <c r="F283" s="10"/>
      <c r="G283" s="12" t="str">
        <f aca="false">IF(D283="","",IF(OR(D283="WhatsApp",D283="Apagado"),"No","Sí"))</f>
        <v/>
      </c>
      <c r="H283" s="10"/>
      <c r="I283" s="20"/>
      <c r="J283" s="10"/>
      <c r="K283" s="1"/>
    </row>
    <row r="284" customFormat="false" ht="15" hidden="false" customHeight="false" outlineLevel="0" collapsed="false">
      <c r="A284" s="1"/>
      <c r="B284" s="15"/>
      <c r="C284" s="15"/>
      <c r="D284" s="15"/>
      <c r="E284" s="15"/>
      <c r="F284" s="15"/>
      <c r="G284" s="17" t="str">
        <f aca="false">IF(D284="","",IF(OR(D284="WhatsApp",D284="Apagado"),"No","Sí"))</f>
        <v/>
      </c>
      <c r="H284" s="15"/>
      <c r="I284" s="21"/>
      <c r="J284" s="15"/>
      <c r="K284" s="1"/>
    </row>
    <row r="285" customFormat="false" ht="15" hidden="false" customHeight="false" outlineLevel="0" collapsed="false">
      <c r="A285" s="1"/>
      <c r="B285" s="10"/>
      <c r="C285" s="10"/>
      <c r="D285" s="10"/>
      <c r="E285" s="10"/>
      <c r="F285" s="10"/>
      <c r="G285" s="12" t="str">
        <f aca="false">IF(D285="","",IF(OR(D285="WhatsApp",D285="Apagado"),"No","Sí"))</f>
        <v/>
      </c>
      <c r="H285" s="10"/>
      <c r="I285" s="20"/>
      <c r="J285" s="10"/>
      <c r="K285" s="1"/>
    </row>
    <row r="286" customFormat="false" ht="15" hidden="false" customHeight="false" outlineLevel="0" collapsed="false">
      <c r="A286" s="1"/>
      <c r="B286" s="15"/>
      <c r="C286" s="15"/>
      <c r="D286" s="15"/>
      <c r="E286" s="15"/>
      <c r="F286" s="15"/>
      <c r="G286" s="17" t="str">
        <f aca="false">IF(D286="","",IF(OR(D286="WhatsApp",D286="Apagado"),"No","Sí"))</f>
        <v/>
      </c>
      <c r="H286" s="15"/>
      <c r="I286" s="21"/>
      <c r="J286" s="15"/>
      <c r="K286" s="1"/>
    </row>
    <row r="287" customFormat="false" ht="15" hidden="false" customHeight="false" outlineLevel="0" collapsed="false">
      <c r="A287" s="1"/>
      <c r="B287" s="10"/>
      <c r="C287" s="10"/>
      <c r="D287" s="10"/>
      <c r="E287" s="10"/>
      <c r="F287" s="10"/>
      <c r="G287" s="12" t="str">
        <f aca="false">IF(D287="","",IF(OR(D287="WhatsApp",D287="Apagado"),"No","Sí"))</f>
        <v/>
      </c>
      <c r="H287" s="10"/>
      <c r="I287" s="20"/>
      <c r="J287" s="10"/>
      <c r="K287" s="1"/>
    </row>
    <row r="288" customFormat="false" ht="15" hidden="false" customHeight="false" outlineLevel="0" collapsed="false">
      <c r="A288" s="1"/>
      <c r="B288" s="15"/>
      <c r="C288" s="15"/>
      <c r="D288" s="15"/>
      <c r="E288" s="15"/>
      <c r="F288" s="15"/>
      <c r="G288" s="17" t="str">
        <f aca="false">IF(D288="","",IF(OR(D288="WhatsApp",D288="Apagado"),"No","Sí"))</f>
        <v/>
      </c>
      <c r="H288" s="15"/>
      <c r="I288" s="21"/>
      <c r="J288" s="15"/>
      <c r="K288" s="1"/>
    </row>
    <row r="289" customFormat="false" ht="15" hidden="false" customHeight="false" outlineLevel="0" collapsed="false">
      <c r="A289" s="1"/>
      <c r="B289" s="10"/>
      <c r="C289" s="10"/>
      <c r="D289" s="10"/>
      <c r="E289" s="10"/>
      <c r="F289" s="10"/>
      <c r="G289" s="12" t="str">
        <f aca="false">IF(D289="","",IF(OR(D289="WhatsApp",D289="Apagado"),"No","Sí"))</f>
        <v/>
      </c>
      <c r="H289" s="10"/>
      <c r="I289" s="20"/>
      <c r="J289" s="10"/>
      <c r="K289" s="1"/>
    </row>
    <row r="290" customFormat="false" ht="15" hidden="false" customHeight="false" outlineLevel="0" collapsed="false">
      <c r="A290" s="1"/>
      <c r="B290" s="15"/>
      <c r="C290" s="15"/>
      <c r="D290" s="15"/>
      <c r="E290" s="15"/>
      <c r="F290" s="15"/>
      <c r="G290" s="17" t="str">
        <f aca="false">IF(D290="","",IF(OR(D290="WhatsApp",D290="Apagado"),"No","Sí"))</f>
        <v/>
      </c>
      <c r="H290" s="15"/>
      <c r="I290" s="21"/>
      <c r="J290" s="15"/>
      <c r="K290" s="1"/>
    </row>
    <row r="291" customFormat="false" ht="15" hidden="false" customHeight="false" outlineLevel="0" collapsed="false">
      <c r="A291" s="1"/>
      <c r="B291" s="10"/>
      <c r="C291" s="10"/>
      <c r="D291" s="10"/>
      <c r="E291" s="10"/>
      <c r="F291" s="10"/>
      <c r="G291" s="12" t="str">
        <f aca="false">IF(D291="","",IF(OR(D291="WhatsApp",D291="Apagado"),"No","Sí"))</f>
        <v/>
      </c>
      <c r="H291" s="10"/>
      <c r="I291" s="20"/>
      <c r="J291" s="10"/>
      <c r="K291" s="1"/>
    </row>
    <row r="292" customFormat="false" ht="15" hidden="false" customHeight="false" outlineLevel="0" collapsed="false">
      <c r="A292" s="1"/>
      <c r="B292" s="15"/>
      <c r="C292" s="15"/>
      <c r="D292" s="15"/>
      <c r="E292" s="15"/>
      <c r="F292" s="15"/>
      <c r="G292" s="17" t="str">
        <f aca="false">IF(D292="","",IF(OR(D292="WhatsApp",D292="Apagado"),"No","Sí"))</f>
        <v/>
      </c>
      <c r="H292" s="15"/>
      <c r="I292" s="21"/>
      <c r="J292" s="15"/>
      <c r="K292" s="1"/>
    </row>
    <row r="293" customFormat="false" ht="15" hidden="false" customHeight="false" outlineLevel="0" collapsed="false">
      <c r="A293" s="1"/>
      <c r="B293" s="10"/>
      <c r="C293" s="10"/>
      <c r="D293" s="10"/>
      <c r="E293" s="10"/>
      <c r="F293" s="10"/>
      <c r="G293" s="12" t="str">
        <f aca="false">IF(D293="","",IF(OR(D293="WhatsApp",D293="Apagado"),"No","Sí"))</f>
        <v/>
      </c>
      <c r="H293" s="10"/>
      <c r="I293" s="20"/>
      <c r="J293" s="10"/>
      <c r="K293" s="1"/>
    </row>
    <row r="294" customFormat="false" ht="15" hidden="false" customHeight="false" outlineLevel="0" collapsed="false">
      <c r="A294" s="1"/>
      <c r="B294" s="15"/>
      <c r="C294" s="15"/>
      <c r="D294" s="15"/>
      <c r="E294" s="15"/>
      <c r="F294" s="15"/>
      <c r="G294" s="17" t="str">
        <f aca="false">IF(D294="","",IF(OR(D294="WhatsApp",D294="Apagado"),"No","Sí"))</f>
        <v/>
      </c>
      <c r="H294" s="15"/>
      <c r="I294" s="21"/>
      <c r="J294" s="15"/>
      <c r="K294" s="1"/>
    </row>
    <row r="295" customFormat="false" ht="15" hidden="false" customHeight="false" outlineLevel="0" collapsed="false">
      <c r="A295" s="1"/>
      <c r="B295" s="10"/>
      <c r="C295" s="10"/>
      <c r="D295" s="10"/>
      <c r="E295" s="10"/>
      <c r="F295" s="10"/>
      <c r="G295" s="12" t="str">
        <f aca="false">IF(D295="","",IF(OR(D295="WhatsApp",D295="Apagado"),"No","Sí"))</f>
        <v/>
      </c>
      <c r="H295" s="10"/>
      <c r="I295" s="20"/>
      <c r="J295" s="10"/>
      <c r="K295" s="1"/>
    </row>
    <row r="296" customFormat="false" ht="15" hidden="false" customHeight="false" outlineLevel="0" collapsed="false">
      <c r="A296" s="1"/>
      <c r="B296" s="15"/>
      <c r="C296" s="15"/>
      <c r="D296" s="15"/>
      <c r="E296" s="15"/>
      <c r="F296" s="15"/>
      <c r="G296" s="17" t="str">
        <f aca="false">IF(D296="","",IF(OR(D296="WhatsApp",D296="Apagado"),"No","Sí"))</f>
        <v/>
      </c>
      <c r="H296" s="15"/>
      <c r="I296" s="21"/>
      <c r="J296" s="15"/>
      <c r="K296" s="1"/>
    </row>
    <row r="297" customFormat="false" ht="15" hidden="false" customHeight="false" outlineLevel="0" collapsed="false">
      <c r="A297" s="1"/>
      <c r="B297" s="10"/>
      <c r="C297" s="10"/>
      <c r="D297" s="10"/>
      <c r="E297" s="10"/>
      <c r="F297" s="10"/>
      <c r="G297" s="12" t="str">
        <f aca="false">IF(D297="","",IF(OR(D297="WhatsApp",D297="Apagado"),"No","Sí"))</f>
        <v/>
      </c>
      <c r="H297" s="10"/>
      <c r="I297" s="20"/>
      <c r="J297" s="10"/>
      <c r="K297" s="1"/>
    </row>
    <row r="298" customFormat="false" ht="15" hidden="false" customHeight="false" outlineLevel="0" collapsed="false">
      <c r="A298" s="1"/>
      <c r="B298" s="15"/>
      <c r="C298" s="15"/>
      <c r="D298" s="15"/>
      <c r="E298" s="15"/>
      <c r="F298" s="15"/>
      <c r="G298" s="17" t="str">
        <f aca="false">IF(D298="","",IF(OR(D298="WhatsApp",D298="Apagado"),"No","Sí"))</f>
        <v/>
      </c>
      <c r="H298" s="15"/>
      <c r="I298" s="21"/>
      <c r="J298" s="15"/>
      <c r="K298" s="1"/>
    </row>
    <row r="299" customFormat="false" ht="15" hidden="false" customHeight="false" outlineLevel="0" collapsed="false">
      <c r="A299" s="1"/>
      <c r="B299" s="10"/>
      <c r="C299" s="10"/>
      <c r="D299" s="10"/>
      <c r="E299" s="10"/>
      <c r="F299" s="10"/>
      <c r="G299" s="12" t="str">
        <f aca="false">IF(D299="","",IF(OR(D299="WhatsApp",D299="Apagado"),"No","Sí"))</f>
        <v/>
      </c>
      <c r="H299" s="10"/>
      <c r="I299" s="20"/>
      <c r="J299" s="10"/>
      <c r="K299" s="1"/>
    </row>
    <row r="300" customFormat="false" ht="15" hidden="false" customHeight="false" outlineLevel="0" collapsed="false">
      <c r="A300" s="1"/>
      <c r="B300" s="15"/>
      <c r="C300" s="15"/>
      <c r="D300" s="15"/>
      <c r="E300" s="15"/>
      <c r="F300" s="15"/>
      <c r="G300" s="17" t="str">
        <f aca="false">IF(D300="","",IF(OR(D300="WhatsApp",D300="Apagado"),"No","Sí"))</f>
        <v/>
      </c>
      <c r="H300" s="15"/>
      <c r="I300" s="21"/>
      <c r="J300" s="15"/>
      <c r="K300" s="1"/>
    </row>
    <row r="301" customFormat="false" ht="15" hidden="false" customHeight="false" outlineLevel="0" collapsed="false">
      <c r="A301" s="1"/>
      <c r="B301" s="10"/>
      <c r="C301" s="10"/>
      <c r="D301" s="10"/>
      <c r="E301" s="10"/>
      <c r="F301" s="10"/>
      <c r="G301" s="12" t="str">
        <f aca="false">IF(D301="","",IF(OR(D301="WhatsApp",D301="Apagado"),"No","Sí"))</f>
        <v/>
      </c>
      <c r="H301" s="10"/>
      <c r="I301" s="20"/>
      <c r="J301" s="10"/>
      <c r="K301" s="1"/>
    </row>
    <row r="302" customFormat="false" ht="15" hidden="false" customHeight="false" outlineLevel="0" collapsed="false">
      <c r="A302" s="1"/>
      <c r="B302" s="15"/>
      <c r="C302" s="15"/>
      <c r="D302" s="15"/>
      <c r="E302" s="15"/>
      <c r="F302" s="15"/>
      <c r="G302" s="17" t="str">
        <f aca="false">IF(D302="","",IF(OR(D302="WhatsApp",D302="Apagado"),"No","Sí"))</f>
        <v/>
      </c>
      <c r="H302" s="15"/>
      <c r="I302" s="21"/>
      <c r="J302" s="15"/>
      <c r="K302" s="1"/>
    </row>
    <row r="303" customFormat="false" ht="15" hidden="false" customHeight="false" outlineLevel="0" collapsed="false">
      <c r="A303" s="1"/>
      <c r="B303" s="10"/>
      <c r="C303" s="10"/>
      <c r="D303" s="10"/>
      <c r="E303" s="10"/>
      <c r="F303" s="10"/>
      <c r="G303" s="12" t="str">
        <f aca="false">IF(D303="","",IF(OR(D303="WhatsApp",D303="Apagado"),"No","Sí"))</f>
        <v/>
      </c>
      <c r="H303" s="10"/>
      <c r="I303" s="20"/>
      <c r="J303" s="10"/>
      <c r="K303" s="1"/>
    </row>
    <row r="304" customFormat="false" ht="15" hidden="false" customHeight="false" outlineLevel="0" collapsed="false">
      <c r="A304" s="1"/>
      <c r="B304" s="15"/>
      <c r="C304" s="15"/>
      <c r="D304" s="15"/>
      <c r="E304" s="15"/>
      <c r="F304" s="15"/>
      <c r="G304" s="17" t="str">
        <f aca="false">IF(D304="","",IF(OR(D304="WhatsApp",D304="Apagado"),"No","Sí"))</f>
        <v/>
      </c>
      <c r="H304" s="15"/>
      <c r="I304" s="21"/>
      <c r="J304" s="15"/>
      <c r="K304" s="1"/>
    </row>
    <row r="305" customFormat="false" ht="15" hidden="false" customHeight="false" outlineLevel="0" collapsed="false">
      <c r="A305" s="1"/>
      <c r="B305" s="10"/>
      <c r="C305" s="10"/>
      <c r="D305" s="10"/>
      <c r="E305" s="10"/>
      <c r="F305" s="10"/>
      <c r="G305" s="12" t="str">
        <f aca="false">IF(D305="","",IF(OR(D305="WhatsApp",D305="Apagado"),"No","Sí"))</f>
        <v/>
      </c>
      <c r="H305" s="10"/>
      <c r="I305" s="20"/>
      <c r="J305" s="10"/>
      <c r="K305" s="1"/>
    </row>
    <row r="306" customFormat="false" ht="15" hidden="false" customHeight="false" outlineLevel="0" collapsed="false">
      <c r="A306" s="1"/>
      <c r="B306" s="15"/>
      <c r="C306" s="15"/>
      <c r="D306" s="15"/>
      <c r="E306" s="15"/>
      <c r="F306" s="15"/>
      <c r="G306" s="17" t="str">
        <f aca="false">IF(D306="","",IF(OR(D306="WhatsApp",D306="Apagado"),"No","Sí"))</f>
        <v/>
      </c>
      <c r="H306" s="15"/>
      <c r="I306" s="21"/>
      <c r="J306" s="15"/>
      <c r="K306" s="1"/>
    </row>
    <row r="307" customFormat="false" ht="15" hidden="false" customHeight="false" outlineLevel="0" collapsed="false">
      <c r="A307" s="1"/>
      <c r="B307" s="10"/>
      <c r="C307" s="10"/>
      <c r="D307" s="10"/>
      <c r="E307" s="10"/>
      <c r="F307" s="10"/>
      <c r="G307" s="12" t="str">
        <f aca="false">IF(D307="","",IF(OR(D307="WhatsApp",D307="Apagado"),"No","Sí"))</f>
        <v/>
      </c>
      <c r="H307" s="10"/>
      <c r="I307" s="20"/>
      <c r="J307" s="10"/>
      <c r="K307" s="1"/>
    </row>
    <row r="308" customFormat="false" ht="15" hidden="false" customHeight="false" outlineLevel="0" collapsed="false">
      <c r="A308" s="1"/>
      <c r="B308" s="15"/>
      <c r="C308" s="15"/>
      <c r="D308" s="15"/>
      <c r="E308" s="15"/>
      <c r="F308" s="15"/>
      <c r="G308" s="17" t="str">
        <f aca="false">IF(D308="","",IF(OR(D308="WhatsApp",D308="Apagado"),"No","Sí"))</f>
        <v/>
      </c>
      <c r="H308" s="15"/>
      <c r="I308" s="21"/>
      <c r="J308" s="15"/>
      <c r="K308" s="1"/>
    </row>
    <row r="309" customFormat="false" ht="15" hidden="false" customHeight="false" outlineLevel="0" collapsed="false">
      <c r="A309" s="1"/>
      <c r="B309" s="10"/>
      <c r="C309" s="10"/>
      <c r="D309" s="10"/>
      <c r="E309" s="10"/>
      <c r="F309" s="10"/>
      <c r="G309" s="12" t="str">
        <f aca="false">IF(D309="","",IF(OR(D309="WhatsApp",D309="Apagado"),"No","Sí"))</f>
        <v/>
      </c>
      <c r="H309" s="10"/>
      <c r="I309" s="20"/>
      <c r="J309" s="10"/>
      <c r="K309" s="1"/>
    </row>
    <row r="310" customFormat="false" ht="15" hidden="false" customHeight="false" outlineLevel="0" collapsed="false">
      <c r="A310" s="1"/>
      <c r="B310" s="15"/>
      <c r="C310" s="15"/>
      <c r="D310" s="15"/>
      <c r="E310" s="15"/>
      <c r="F310" s="15"/>
      <c r="G310" s="17" t="str">
        <f aca="false">IF(D310="","",IF(OR(D310="WhatsApp",D310="Apagado"),"No","Sí"))</f>
        <v/>
      </c>
      <c r="H310" s="15"/>
      <c r="I310" s="21"/>
      <c r="J310" s="15"/>
      <c r="K310" s="1"/>
    </row>
    <row r="311" customFormat="false" ht="15" hidden="false" customHeight="false" outlineLevel="0" collapsed="false">
      <c r="A311" s="1"/>
      <c r="B311" s="10"/>
      <c r="C311" s="10"/>
      <c r="D311" s="10"/>
      <c r="E311" s="10"/>
      <c r="F311" s="10"/>
      <c r="G311" s="12" t="str">
        <f aca="false">IF(D311="","",IF(OR(D311="WhatsApp",D311="Apagado"),"No","Sí"))</f>
        <v/>
      </c>
      <c r="H311" s="10"/>
      <c r="I311" s="20"/>
      <c r="J311" s="10"/>
      <c r="K311" s="1"/>
    </row>
    <row r="312" customFormat="false" ht="15" hidden="false" customHeight="false" outlineLevel="0" collapsed="false">
      <c r="A312" s="1"/>
      <c r="B312" s="15"/>
      <c r="C312" s="15"/>
      <c r="D312" s="15"/>
      <c r="E312" s="15"/>
      <c r="F312" s="15"/>
      <c r="G312" s="17" t="str">
        <f aca="false">IF(D312="","",IF(OR(D312="WhatsApp",D312="Apagado"),"No","Sí"))</f>
        <v/>
      </c>
      <c r="H312" s="15"/>
      <c r="I312" s="21"/>
      <c r="J312" s="15"/>
      <c r="K312" s="1"/>
    </row>
    <row r="313" customFormat="false" ht="15" hidden="false" customHeight="false" outlineLevel="0" collapsed="false">
      <c r="A313" s="1"/>
      <c r="B313" s="10"/>
      <c r="C313" s="10"/>
      <c r="D313" s="10"/>
      <c r="E313" s="10"/>
      <c r="F313" s="10"/>
      <c r="G313" s="12" t="str">
        <f aca="false">IF(D313="","",IF(OR(D313="WhatsApp",D313="Apagado"),"No","Sí"))</f>
        <v/>
      </c>
      <c r="H313" s="10"/>
      <c r="I313" s="20"/>
      <c r="J313" s="10"/>
      <c r="K313" s="1"/>
    </row>
    <row r="314" customFormat="false" ht="15" hidden="false" customHeight="false" outlineLevel="0" collapsed="false">
      <c r="A314" s="1"/>
      <c r="B314" s="15"/>
      <c r="C314" s="15"/>
      <c r="D314" s="15"/>
      <c r="E314" s="15"/>
      <c r="F314" s="15"/>
      <c r="G314" s="17" t="str">
        <f aca="false">IF(D314="","",IF(OR(D314="WhatsApp",D314="Apagado"),"No","Sí"))</f>
        <v/>
      </c>
      <c r="H314" s="15"/>
      <c r="I314" s="21"/>
      <c r="J314" s="15"/>
      <c r="K314" s="1"/>
    </row>
    <row r="315" customFormat="false" ht="15" hidden="false" customHeight="false" outlineLevel="0" collapsed="false">
      <c r="A315" s="1"/>
      <c r="B315" s="10"/>
      <c r="C315" s="10"/>
      <c r="D315" s="10"/>
      <c r="E315" s="10"/>
      <c r="F315" s="10"/>
      <c r="G315" s="12" t="str">
        <f aca="false">IF(D315="","",IF(OR(D315="WhatsApp",D315="Apagado"),"No","Sí"))</f>
        <v/>
      </c>
      <c r="H315" s="10"/>
      <c r="I315" s="20"/>
      <c r="J315" s="10"/>
      <c r="K315" s="1"/>
    </row>
    <row r="316" customFormat="false" ht="15" hidden="false" customHeight="false" outlineLevel="0" collapsed="false">
      <c r="A316" s="1"/>
      <c r="B316" s="15"/>
      <c r="C316" s="15"/>
      <c r="D316" s="15"/>
      <c r="E316" s="15"/>
      <c r="F316" s="15"/>
      <c r="G316" s="17" t="str">
        <f aca="false">IF(D316="","",IF(OR(D316="WhatsApp",D316="Apagado"),"No","Sí"))</f>
        <v/>
      </c>
      <c r="H316" s="15"/>
      <c r="I316" s="21"/>
      <c r="J316" s="15"/>
      <c r="K316" s="1"/>
    </row>
    <row r="317" customFormat="false" ht="15" hidden="false" customHeight="false" outlineLevel="0" collapsed="false">
      <c r="A317" s="1"/>
      <c r="B317" s="10"/>
      <c r="C317" s="10"/>
      <c r="D317" s="10"/>
      <c r="E317" s="10"/>
      <c r="F317" s="10"/>
      <c r="G317" s="12" t="str">
        <f aca="false">IF(D317="","",IF(OR(D317="WhatsApp",D317="Apagado"),"No","Sí"))</f>
        <v/>
      </c>
      <c r="H317" s="10"/>
      <c r="I317" s="20"/>
      <c r="J317" s="10"/>
      <c r="K317" s="1"/>
    </row>
    <row r="318" customFormat="false" ht="15" hidden="false" customHeight="false" outlineLevel="0" collapsed="false">
      <c r="A318" s="1"/>
      <c r="B318" s="15"/>
      <c r="C318" s="15"/>
      <c r="D318" s="15"/>
      <c r="E318" s="15"/>
      <c r="F318" s="15"/>
      <c r="G318" s="17" t="str">
        <f aca="false">IF(D318="","",IF(OR(D318="WhatsApp",D318="Apagado"),"No","Sí"))</f>
        <v/>
      </c>
      <c r="H318" s="15"/>
      <c r="I318" s="21"/>
      <c r="J318" s="15"/>
      <c r="K318" s="1"/>
    </row>
    <row r="319" customFormat="false" ht="15" hidden="false" customHeight="false" outlineLevel="0" collapsed="false">
      <c r="A319" s="1"/>
      <c r="B319" s="10"/>
      <c r="C319" s="10"/>
      <c r="D319" s="10"/>
      <c r="E319" s="10"/>
      <c r="F319" s="10"/>
      <c r="G319" s="12" t="str">
        <f aca="false">IF(D319="","",IF(OR(D319="WhatsApp",D319="Apagado"),"No","Sí"))</f>
        <v/>
      </c>
      <c r="H319" s="10"/>
      <c r="I319" s="20"/>
      <c r="J319" s="10"/>
      <c r="K319" s="1"/>
    </row>
    <row r="320" customFormat="false" ht="15" hidden="false" customHeight="false" outlineLevel="0" collapsed="false">
      <c r="A320" s="1"/>
      <c r="B320" s="15"/>
      <c r="C320" s="15"/>
      <c r="D320" s="15"/>
      <c r="E320" s="15"/>
      <c r="F320" s="15"/>
      <c r="G320" s="17" t="str">
        <f aca="false">IF(D320="","",IF(OR(D320="WhatsApp",D320="Apagado"),"No","Sí"))</f>
        <v/>
      </c>
      <c r="H320" s="15"/>
      <c r="I320" s="21"/>
      <c r="J320" s="15"/>
      <c r="K320" s="1"/>
    </row>
    <row r="321" customFormat="false" ht="15" hidden="false" customHeight="false" outlineLevel="0" collapsed="false">
      <c r="A321" s="1"/>
      <c r="B321" s="10"/>
      <c r="C321" s="10"/>
      <c r="D321" s="10"/>
      <c r="E321" s="10"/>
      <c r="F321" s="10"/>
      <c r="G321" s="12" t="str">
        <f aca="false">IF(D321="","",IF(OR(D321="WhatsApp",D321="Apagado"),"No","Sí"))</f>
        <v/>
      </c>
      <c r="H321" s="10"/>
      <c r="I321" s="20"/>
      <c r="J321" s="10"/>
      <c r="K321" s="1"/>
    </row>
    <row r="322" customFormat="false" ht="15" hidden="false" customHeight="false" outlineLevel="0" collapsed="false">
      <c r="A322" s="1"/>
      <c r="B322" s="15"/>
      <c r="C322" s="15"/>
      <c r="D322" s="15"/>
      <c r="E322" s="15"/>
      <c r="F322" s="15"/>
      <c r="G322" s="17" t="str">
        <f aca="false">IF(D322="","",IF(OR(D322="WhatsApp",D322="Apagado"),"No","Sí"))</f>
        <v/>
      </c>
      <c r="H322" s="15"/>
      <c r="I322" s="21"/>
      <c r="J322" s="15"/>
      <c r="K322" s="1"/>
    </row>
    <row r="323" customFormat="false" ht="15" hidden="false" customHeight="false" outlineLevel="0" collapsed="false">
      <c r="A323" s="1"/>
      <c r="B323" s="10"/>
      <c r="C323" s="10"/>
      <c r="D323" s="10"/>
      <c r="E323" s="10"/>
      <c r="F323" s="10"/>
      <c r="G323" s="12" t="str">
        <f aca="false">IF(D323="","",IF(OR(D323="WhatsApp",D323="Apagado"),"No","Sí"))</f>
        <v/>
      </c>
      <c r="H323" s="10"/>
      <c r="I323" s="20"/>
      <c r="J323" s="10"/>
      <c r="K323" s="1"/>
    </row>
    <row r="324" customFormat="false" ht="15" hidden="false" customHeight="false" outlineLevel="0" collapsed="false">
      <c r="A324" s="1"/>
      <c r="B324" s="15"/>
      <c r="C324" s="15"/>
      <c r="D324" s="15"/>
      <c r="E324" s="15"/>
      <c r="F324" s="15"/>
      <c r="G324" s="17" t="str">
        <f aca="false">IF(D324="","",IF(OR(D324="WhatsApp",D324="Apagado"),"No","Sí"))</f>
        <v/>
      </c>
      <c r="H324" s="15"/>
      <c r="I324" s="21"/>
      <c r="J324" s="15"/>
      <c r="K324" s="1"/>
    </row>
    <row r="325" customFormat="false" ht="15" hidden="false" customHeight="false" outlineLevel="0" collapsed="false">
      <c r="A325" s="1"/>
      <c r="B325" s="10"/>
      <c r="C325" s="10"/>
      <c r="D325" s="10"/>
      <c r="E325" s="10"/>
      <c r="F325" s="10"/>
      <c r="G325" s="12" t="str">
        <f aca="false">IF(D325="","",IF(OR(D325="WhatsApp",D325="Apagado"),"No","Sí"))</f>
        <v/>
      </c>
      <c r="H325" s="10"/>
      <c r="I325" s="20"/>
      <c r="J325" s="10"/>
      <c r="K325" s="1"/>
    </row>
    <row r="326" customFormat="false" ht="15" hidden="false" customHeight="false" outlineLevel="0" collapsed="false">
      <c r="A326" s="1"/>
      <c r="B326" s="15"/>
      <c r="C326" s="15"/>
      <c r="D326" s="15"/>
      <c r="E326" s="15"/>
      <c r="F326" s="15"/>
      <c r="G326" s="17" t="str">
        <f aca="false">IF(D326="","",IF(OR(D326="WhatsApp",D326="Apagado"),"No","Sí"))</f>
        <v/>
      </c>
      <c r="H326" s="15"/>
      <c r="I326" s="21"/>
      <c r="J326" s="15"/>
      <c r="K326" s="1"/>
    </row>
    <row r="327" customFormat="false" ht="15" hidden="false" customHeight="false" outlineLevel="0" collapsed="false">
      <c r="A327" s="1"/>
      <c r="B327" s="10"/>
      <c r="C327" s="10"/>
      <c r="D327" s="10"/>
      <c r="E327" s="10"/>
      <c r="F327" s="10"/>
      <c r="G327" s="12" t="str">
        <f aca="false">IF(D327="","",IF(OR(D327="WhatsApp",D327="Apagado"),"No","Sí"))</f>
        <v/>
      </c>
      <c r="H327" s="10"/>
      <c r="I327" s="20"/>
      <c r="J327" s="10"/>
      <c r="K327" s="1"/>
    </row>
    <row r="328" customFormat="false" ht="15" hidden="false" customHeight="false" outlineLevel="0" collapsed="false">
      <c r="A328" s="1"/>
      <c r="B328" s="15"/>
      <c r="C328" s="15"/>
      <c r="D328" s="15"/>
      <c r="E328" s="15"/>
      <c r="F328" s="15"/>
      <c r="G328" s="17" t="str">
        <f aca="false">IF(D328="","",IF(OR(D328="WhatsApp",D328="Apagado"),"No","Sí"))</f>
        <v/>
      </c>
      <c r="H328" s="15"/>
      <c r="I328" s="21"/>
      <c r="J328" s="15"/>
      <c r="K328" s="1"/>
    </row>
    <row r="329" customFormat="false" ht="15" hidden="false" customHeight="false" outlineLevel="0" collapsed="false">
      <c r="A329" s="1"/>
      <c r="B329" s="10"/>
      <c r="C329" s="10"/>
      <c r="D329" s="10"/>
      <c r="E329" s="10"/>
      <c r="F329" s="10"/>
      <c r="G329" s="12" t="str">
        <f aca="false">IF(D329="","",IF(OR(D329="WhatsApp",D329="Apagado"),"No","Sí"))</f>
        <v/>
      </c>
      <c r="H329" s="10"/>
      <c r="I329" s="20"/>
      <c r="J329" s="10"/>
      <c r="K329" s="1"/>
    </row>
    <row r="330" customFormat="false" ht="15" hidden="false" customHeight="false" outlineLevel="0" collapsed="false">
      <c r="A330" s="1"/>
      <c r="B330" s="15"/>
      <c r="C330" s="15"/>
      <c r="D330" s="15"/>
      <c r="E330" s="15"/>
      <c r="F330" s="15"/>
      <c r="G330" s="17" t="str">
        <f aca="false">IF(D330="","",IF(OR(D330="WhatsApp",D330="Apagado"),"No","Sí"))</f>
        <v/>
      </c>
      <c r="H330" s="15"/>
      <c r="I330" s="21"/>
      <c r="J330" s="15"/>
      <c r="K330" s="1"/>
    </row>
    <row r="331" customFormat="false" ht="15" hidden="false" customHeight="false" outlineLevel="0" collapsed="false">
      <c r="A331" s="1"/>
      <c r="B331" s="10"/>
      <c r="C331" s="10"/>
      <c r="D331" s="10"/>
      <c r="E331" s="10"/>
      <c r="F331" s="10"/>
      <c r="G331" s="12" t="str">
        <f aca="false">IF(D331="","",IF(OR(D331="WhatsApp",D331="Apagado"),"No","Sí"))</f>
        <v/>
      </c>
      <c r="H331" s="10"/>
      <c r="I331" s="20"/>
      <c r="J331" s="10"/>
      <c r="K331" s="1"/>
    </row>
    <row r="332" customFormat="false" ht="15" hidden="false" customHeight="false" outlineLevel="0" collapsed="false">
      <c r="A332" s="1"/>
      <c r="B332" s="15"/>
      <c r="C332" s="15"/>
      <c r="D332" s="15"/>
      <c r="E332" s="15"/>
      <c r="F332" s="15"/>
      <c r="G332" s="17" t="str">
        <f aca="false">IF(D332="","",IF(OR(D332="WhatsApp",D332="Apagado"),"No","Sí"))</f>
        <v/>
      </c>
      <c r="H332" s="15"/>
      <c r="I332" s="21"/>
      <c r="J332" s="15"/>
      <c r="K332" s="1"/>
    </row>
    <row r="333" customFormat="false" ht="15" hidden="false" customHeight="false" outlineLevel="0" collapsed="false">
      <c r="A333" s="1"/>
      <c r="B333" s="10"/>
      <c r="C333" s="10"/>
      <c r="D333" s="10"/>
      <c r="E333" s="10"/>
      <c r="F333" s="10"/>
      <c r="G333" s="12" t="str">
        <f aca="false">IF(D333="","",IF(OR(D333="WhatsApp",D333="Apagado"),"No","Sí"))</f>
        <v/>
      </c>
      <c r="H333" s="10"/>
      <c r="I333" s="20"/>
      <c r="J333" s="10"/>
      <c r="K333" s="1"/>
    </row>
    <row r="334" customFormat="false" ht="15" hidden="false" customHeight="false" outlineLevel="0" collapsed="false">
      <c r="A334" s="1"/>
      <c r="B334" s="15"/>
      <c r="C334" s="15"/>
      <c r="D334" s="15"/>
      <c r="E334" s="15"/>
      <c r="F334" s="15"/>
      <c r="G334" s="17" t="str">
        <f aca="false">IF(D334="","",IF(OR(D334="WhatsApp",D334="Apagado"),"No","Sí"))</f>
        <v/>
      </c>
      <c r="H334" s="15"/>
      <c r="I334" s="21"/>
      <c r="J334" s="15"/>
      <c r="K334" s="1"/>
    </row>
    <row r="335" customFormat="false" ht="15" hidden="false" customHeight="false" outlineLevel="0" collapsed="false">
      <c r="A335" s="1"/>
      <c r="B335" s="10"/>
      <c r="C335" s="10"/>
      <c r="D335" s="10"/>
      <c r="E335" s="10"/>
      <c r="F335" s="10"/>
      <c r="G335" s="12" t="str">
        <f aca="false">IF(D335="","",IF(OR(D335="WhatsApp",D335="Apagado"),"No","Sí"))</f>
        <v/>
      </c>
      <c r="H335" s="10"/>
      <c r="I335" s="20"/>
      <c r="J335" s="10"/>
      <c r="K335" s="1"/>
    </row>
    <row r="336" customFormat="false" ht="15" hidden="false" customHeight="false" outlineLevel="0" collapsed="false">
      <c r="A336" s="1"/>
      <c r="B336" s="15"/>
      <c r="C336" s="15"/>
      <c r="D336" s="15"/>
      <c r="E336" s="15"/>
      <c r="F336" s="15"/>
      <c r="G336" s="17" t="str">
        <f aca="false">IF(D336="","",IF(OR(D336="WhatsApp",D336="Apagado"),"No","Sí"))</f>
        <v/>
      </c>
      <c r="H336" s="15"/>
      <c r="I336" s="21"/>
      <c r="J336" s="15"/>
      <c r="K336" s="1"/>
    </row>
    <row r="337" customFormat="false" ht="15" hidden="false" customHeight="false" outlineLevel="0" collapsed="false">
      <c r="A337" s="1"/>
      <c r="B337" s="10"/>
      <c r="C337" s="10"/>
      <c r="D337" s="10"/>
      <c r="E337" s="10"/>
      <c r="F337" s="10"/>
      <c r="G337" s="12" t="str">
        <f aca="false">IF(D337="","",IF(OR(D337="WhatsApp",D337="Apagado"),"No","Sí"))</f>
        <v/>
      </c>
      <c r="H337" s="10"/>
      <c r="I337" s="20"/>
      <c r="J337" s="10"/>
      <c r="K337" s="1"/>
    </row>
    <row r="338" customFormat="false" ht="15" hidden="false" customHeight="false" outlineLevel="0" collapsed="false">
      <c r="A338" s="1"/>
      <c r="B338" s="15"/>
      <c r="C338" s="15"/>
      <c r="D338" s="15"/>
      <c r="E338" s="15"/>
      <c r="F338" s="15"/>
      <c r="G338" s="17" t="str">
        <f aca="false">IF(D338="","",IF(OR(D338="WhatsApp",D338="Apagado"),"No","Sí"))</f>
        <v/>
      </c>
      <c r="H338" s="15"/>
      <c r="I338" s="21"/>
      <c r="J338" s="15"/>
      <c r="K338" s="1"/>
    </row>
    <row r="339" customFormat="false" ht="15" hidden="false" customHeight="false" outlineLevel="0" collapsed="false">
      <c r="A339" s="1"/>
      <c r="B339" s="10"/>
      <c r="C339" s="10"/>
      <c r="D339" s="10"/>
      <c r="E339" s="10"/>
      <c r="F339" s="10"/>
      <c r="G339" s="12" t="str">
        <f aca="false">IF(D339="","",IF(OR(D339="WhatsApp",D339="Apagado"),"No","Sí"))</f>
        <v/>
      </c>
      <c r="H339" s="10"/>
      <c r="I339" s="20"/>
      <c r="J339" s="10"/>
      <c r="K339" s="1"/>
    </row>
    <row r="340" customFormat="false" ht="15" hidden="false" customHeight="false" outlineLevel="0" collapsed="false">
      <c r="A340" s="1"/>
      <c r="B340" s="15"/>
      <c r="C340" s="15"/>
      <c r="D340" s="15"/>
      <c r="E340" s="15"/>
      <c r="F340" s="15"/>
      <c r="G340" s="17" t="str">
        <f aca="false">IF(D340="","",IF(OR(D340="WhatsApp",D340="Apagado"),"No","Sí"))</f>
        <v/>
      </c>
      <c r="H340" s="15"/>
      <c r="I340" s="21"/>
      <c r="J340" s="15"/>
      <c r="K340" s="1"/>
    </row>
    <row r="341" customFormat="false" ht="15" hidden="false" customHeight="false" outlineLevel="0" collapsed="false">
      <c r="A341" s="1"/>
      <c r="B341" s="10"/>
      <c r="C341" s="10"/>
      <c r="D341" s="10"/>
      <c r="E341" s="10"/>
      <c r="F341" s="10"/>
      <c r="G341" s="12" t="str">
        <f aca="false">IF(D341="","",IF(OR(D341="WhatsApp",D341="Apagado"),"No","Sí"))</f>
        <v/>
      </c>
      <c r="H341" s="10"/>
      <c r="I341" s="20"/>
      <c r="J341" s="10"/>
      <c r="K341" s="1"/>
    </row>
    <row r="342" customFormat="false" ht="15" hidden="false" customHeight="false" outlineLevel="0" collapsed="false">
      <c r="A342" s="1"/>
      <c r="B342" s="15"/>
      <c r="C342" s="15"/>
      <c r="D342" s="15"/>
      <c r="E342" s="15"/>
      <c r="F342" s="15"/>
      <c r="G342" s="17" t="str">
        <f aca="false">IF(D342="","",IF(OR(D342="WhatsApp",D342="Apagado"),"No","Sí"))</f>
        <v/>
      </c>
      <c r="H342" s="15"/>
      <c r="I342" s="21"/>
      <c r="J342" s="15"/>
      <c r="K342" s="1"/>
    </row>
    <row r="343" customFormat="false" ht="15" hidden="false" customHeight="false" outlineLevel="0" collapsed="false">
      <c r="A343" s="1"/>
      <c r="B343" s="10"/>
      <c r="C343" s="10"/>
      <c r="D343" s="10"/>
      <c r="E343" s="10"/>
      <c r="F343" s="10"/>
      <c r="G343" s="12" t="str">
        <f aca="false">IF(D343="","",IF(OR(D343="WhatsApp",D343="Apagado"),"No","Sí"))</f>
        <v/>
      </c>
      <c r="H343" s="10"/>
      <c r="I343" s="20"/>
      <c r="J343" s="10"/>
      <c r="K343" s="1"/>
    </row>
    <row r="344" customFormat="false" ht="15" hidden="false" customHeight="false" outlineLevel="0" collapsed="false">
      <c r="A344" s="1"/>
      <c r="B344" s="15"/>
      <c r="C344" s="15"/>
      <c r="D344" s="15"/>
      <c r="E344" s="15"/>
      <c r="F344" s="15"/>
      <c r="G344" s="17" t="str">
        <f aca="false">IF(D344="","",IF(OR(D344="WhatsApp",D344="Apagado"),"No","Sí"))</f>
        <v/>
      </c>
      <c r="H344" s="15"/>
      <c r="I344" s="21"/>
      <c r="J344" s="15"/>
      <c r="K344" s="1"/>
    </row>
    <row r="345" customFormat="false" ht="15" hidden="false" customHeight="false" outlineLevel="0" collapsed="false">
      <c r="A345" s="1"/>
      <c r="B345" s="10"/>
      <c r="C345" s="10"/>
      <c r="D345" s="10"/>
      <c r="E345" s="10"/>
      <c r="F345" s="10"/>
      <c r="G345" s="12" t="str">
        <f aca="false">IF(D345="","",IF(OR(D345="WhatsApp",D345="Apagado"),"No","Sí"))</f>
        <v/>
      </c>
      <c r="H345" s="10"/>
      <c r="I345" s="20"/>
      <c r="J345" s="10"/>
      <c r="K345" s="1"/>
    </row>
    <row r="346" customFormat="false" ht="15" hidden="false" customHeight="false" outlineLevel="0" collapsed="false">
      <c r="A346" s="1"/>
      <c r="B346" s="15"/>
      <c r="C346" s="15"/>
      <c r="D346" s="15"/>
      <c r="E346" s="15"/>
      <c r="F346" s="15"/>
      <c r="G346" s="17" t="str">
        <f aca="false">IF(D346="","",IF(OR(D346="WhatsApp",D346="Apagado"),"No","Sí"))</f>
        <v/>
      </c>
      <c r="H346" s="15"/>
      <c r="I346" s="21"/>
      <c r="J346" s="15"/>
      <c r="K346" s="1"/>
    </row>
    <row r="347" customFormat="false" ht="15" hidden="false" customHeight="false" outlineLevel="0" collapsed="false">
      <c r="A347" s="1"/>
      <c r="B347" s="10"/>
      <c r="C347" s="10"/>
      <c r="D347" s="10"/>
      <c r="E347" s="10"/>
      <c r="F347" s="10"/>
      <c r="G347" s="12" t="str">
        <f aca="false">IF(D347="","",IF(OR(D347="WhatsApp",D347="Apagado"),"No","Sí"))</f>
        <v/>
      </c>
      <c r="H347" s="10"/>
      <c r="I347" s="20"/>
      <c r="J347" s="10"/>
      <c r="K347" s="1"/>
    </row>
    <row r="348" customFormat="false" ht="15" hidden="false" customHeight="false" outlineLevel="0" collapsed="false">
      <c r="A348" s="1"/>
      <c r="B348" s="15"/>
      <c r="C348" s="15"/>
      <c r="D348" s="15"/>
      <c r="E348" s="15"/>
      <c r="F348" s="15"/>
      <c r="G348" s="17" t="str">
        <f aca="false">IF(D348="","",IF(OR(D348="WhatsApp",D348="Apagado"),"No","Sí"))</f>
        <v/>
      </c>
      <c r="H348" s="15"/>
      <c r="I348" s="21"/>
      <c r="J348" s="15"/>
      <c r="K348" s="1"/>
    </row>
    <row r="349" customFormat="false" ht="15" hidden="false" customHeight="false" outlineLevel="0" collapsed="false">
      <c r="A349" s="1"/>
      <c r="B349" s="10"/>
      <c r="C349" s="10"/>
      <c r="D349" s="10"/>
      <c r="E349" s="10"/>
      <c r="F349" s="10"/>
      <c r="G349" s="12" t="str">
        <f aca="false">IF(D349="","",IF(OR(D349="WhatsApp",D349="Apagado"),"No","Sí"))</f>
        <v/>
      </c>
      <c r="H349" s="10"/>
      <c r="I349" s="20"/>
      <c r="J349" s="10"/>
      <c r="K349" s="1"/>
    </row>
    <row r="350" customFormat="false" ht="15" hidden="false" customHeight="false" outlineLevel="0" collapsed="false">
      <c r="A350" s="1"/>
      <c r="B350" s="15"/>
      <c r="C350" s="15"/>
      <c r="D350" s="15"/>
      <c r="E350" s="15"/>
      <c r="F350" s="15"/>
      <c r="G350" s="17" t="str">
        <f aca="false">IF(D350="","",IF(OR(D350="WhatsApp",D350="Apagado"),"No","Sí"))</f>
        <v/>
      </c>
      <c r="H350" s="15"/>
      <c r="I350" s="21"/>
      <c r="J350" s="15"/>
      <c r="K350" s="1"/>
    </row>
    <row r="351" customFormat="false" ht="15" hidden="false" customHeight="false" outlineLevel="0" collapsed="false">
      <c r="A351" s="1"/>
      <c r="B351" s="10"/>
      <c r="C351" s="10"/>
      <c r="D351" s="10"/>
      <c r="E351" s="10"/>
      <c r="F351" s="10"/>
      <c r="G351" s="12" t="str">
        <f aca="false">IF(D351="","",IF(OR(D351="WhatsApp",D351="Apagado"),"No","Sí"))</f>
        <v/>
      </c>
      <c r="H351" s="10"/>
      <c r="I351" s="20"/>
      <c r="J351" s="10"/>
      <c r="K351" s="1"/>
    </row>
    <row r="352" customFormat="false" ht="15" hidden="false" customHeight="false" outlineLevel="0" collapsed="false">
      <c r="A352" s="1"/>
      <c r="B352" s="15"/>
      <c r="C352" s="15"/>
      <c r="D352" s="15"/>
      <c r="E352" s="15"/>
      <c r="F352" s="15"/>
      <c r="G352" s="17" t="str">
        <f aca="false">IF(D352="","",IF(OR(D352="WhatsApp",D352="Apagado"),"No","Sí"))</f>
        <v/>
      </c>
      <c r="H352" s="15"/>
      <c r="I352" s="21"/>
      <c r="J352" s="15"/>
      <c r="K352" s="1"/>
    </row>
    <row r="353" customFormat="false" ht="15" hidden="false" customHeight="false" outlineLevel="0" collapsed="false">
      <c r="A353" s="1"/>
      <c r="B353" s="10"/>
      <c r="C353" s="10"/>
      <c r="D353" s="10"/>
      <c r="E353" s="10"/>
      <c r="F353" s="10"/>
      <c r="G353" s="12" t="str">
        <f aca="false">IF(D353="","",IF(OR(D353="WhatsApp",D353="Apagado"),"No","Sí"))</f>
        <v/>
      </c>
      <c r="H353" s="10"/>
      <c r="I353" s="20"/>
      <c r="J353" s="10"/>
      <c r="K353" s="1"/>
    </row>
    <row r="354" customFormat="false" ht="15" hidden="false" customHeight="false" outlineLevel="0" collapsed="false">
      <c r="A354" s="1"/>
      <c r="B354" s="15"/>
      <c r="C354" s="15"/>
      <c r="D354" s="15"/>
      <c r="E354" s="15"/>
      <c r="F354" s="15"/>
      <c r="G354" s="17" t="str">
        <f aca="false">IF(D354="","",IF(OR(D354="WhatsApp",D354="Apagado"),"No","Sí"))</f>
        <v/>
      </c>
      <c r="H354" s="15"/>
      <c r="I354" s="21"/>
      <c r="J354" s="15"/>
      <c r="K354" s="1"/>
    </row>
    <row r="355" customFormat="false" ht="15" hidden="false" customHeight="false" outlineLevel="0" collapsed="false">
      <c r="A355" s="1"/>
      <c r="B355" s="10"/>
      <c r="C355" s="10"/>
      <c r="D355" s="10"/>
      <c r="E355" s="10"/>
      <c r="F355" s="10"/>
      <c r="G355" s="12" t="str">
        <f aca="false">IF(D355="","",IF(OR(D355="WhatsApp",D355="Apagado"),"No","Sí"))</f>
        <v/>
      </c>
      <c r="H355" s="10"/>
      <c r="I355" s="20"/>
      <c r="J355" s="10"/>
      <c r="K355" s="1"/>
    </row>
    <row r="356" customFormat="false" ht="15" hidden="false" customHeight="false" outlineLevel="0" collapsed="false">
      <c r="A356" s="1"/>
      <c r="B356" s="15"/>
      <c r="C356" s="15"/>
      <c r="D356" s="15"/>
      <c r="E356" s="15"/>
      <c r="F356" s="15"/>
      <c r="G356" s="17" t="str">
        <f aca="false">IF(D356="","",IF(OR(D356="WhatsApp",D356="Apagado"),"No","Sí"))</f>
        <v/>
      </c>
      <c r="H356" s="15"/>
      <c r="I356" s="21"/>
      <c r="J356" s="15"/>
      <c r="K356" s="1"/>
    </row>
    <row r="357" customFormat="false" ht="15" hidden="false" customHeight="false" outlineLevel="0" collapsed="false">
      <c r="A357" s="1"/>
      <c r="B357" s="10"/>
      <c r="C357" s="10"/>
      <c r="D357" s="10"/>
      <c r="E357" s="10"/>
      <c r="F357" s="10"/>
      <c r="G357" s="12" t="str">
        <f aca="false">IF(D357="","",IF(OR(D357="WhatsApp",D357="Apagado"),"No","Sí"))</f>
        <v/>
      </c>
      <c r="H357" s="10"/>
      <c r="I357" s="20"/>
      <c r="J357" s="10"/>
      <c r="K357" s="1"/>
    </row>
    <row r="358" customFormat="false" ht="15" hidden="false" customHeight="false" outlineLevel="0" collapsed="false">
      <c r="A358" s="1"/>
      <c r="B358" s="15"/>
      <c r="C358" s="15"/>
      <c r="D358" s="15"/>
      <c r="E358" s="15"/>
      <c r="F358" s="15"/>
      <c r="G358" s="17" t="str">
        <f aca="false">IF(D358="","",IF(OR(D358="WhatsApp",D358="Apagado"),"No","Sí"))</f>
        <v/>
      </c>
      <c r="H358" s="15"/>
      <c r="I358" s="21"/>
      <c r="J358" s="15"/>
      <c r="K358" s="1"/>
    </row>
    <row r="359" customFormat="false" ht="15" hidden="false" customHeight="false" outlineLevel="0" collapsed="false">
      <c r="A359" s="1"/>
      <c r="B359" s="10"/>
      <c r="C359" s="10"/>
      <c r="D359" s="10"/>
      <c r="E359" s="10"/>
      <c r="F359" s="10"/>
      <c r="G359" s="12" t="str">
        <f aca="false">IF(D359="","",IF(OR(D359="WhatsApp",D359="Apagado"),"No","Sí"))</f>
        <v/>
      </c>
      <c r="H359" s="10"/>
      <c r="I359" s="20"/>
      <c r="J359" s="10"/>
      <c r="K359" s="1"/>
    </row>
    <row r="360" customFormat="false" ht="15" hidden="false" customHeight="false" outlineLevel="0" collapsed="false">
      <c r="A360" s="1"/>
      <c r="B360" s="15"/>
      <c r="C360" s="15"/>
      <c r="D360" s="15"/>
      <c r="E360" s="15"/>
      <c r="F360" s="15"/>
      <c r="G360" s="17" t="str">
        <f aca="false">IF(D360="","",IF(OR(D360="WhatsApp",D360="Apagado"),"No","Sí"))</f>
        <v/>
      </c>
      <c r="H360" s="15"/>
      <c r="I360" s="21"/>
      <c r="J360" s="15"/>
      <c r="K360" s="1"/>
    </row>
    <row r="361" customFormat="false" ht="15" hidden="false" customHeight="false" outlineLevel="0" collapsed="false">
      <c r="A361" s="1"/>
      <c r="B361" s="10"/>
      <c r="C361" s="10"/>
      <c r="D361" s="10"/>
      <c r="E361" s="10"/>
      <c r="F361" s="10"/>
      <c r="G361" s="12" t="str">
        <f aca="false">IF(D361="","",IF(OR(D361="WhatsApp",D361="Apagado"),"No","Sí"))</f>
        <v/>
      </c>
      <c r="H361" s="10"/>
      <c r="I361" s="20"/>
      <c r="J361" s="10"/>
      <c r="K361" s="1"/>
    </row>
    <row r="362" customFormat="false" ht="15" hidden="false" customHeight="false" outlineLevel="0" collapsed="false">
      <c r="A362" s="1"/>
      <c r="B362" s="15"/>
      <c r="C362" s="15"/>
      <c r="D362" s="15"/>
      <c r="E362" s="15"/>
      <c r="F362" s="15"/>
      <c r="G362" s="17" t="str">
        <f aca="false">IF(D362="","",IF(OR(D362="WhatsApp",D362="Apagado"),"No","Sí"))</f>
        <v/>
      </c>
      <c r="H362" s="15"/>
      <c r="I362" s="21"/>
      <c r="J362" s="15"/>
      <c r="K362" s="1"/>
    </row>
    <row r="363" customFormat="false" ht="15" hidden="false" customHeight="false" outlineLevel="0" collapsed="false">
      <c r="A363" s="1"/>
      <c r="B363" s="10"/>
      <c r="C363" s="10"/>
      <c r="D363" s="10"/>
      <c r="E363" s="10"/>
      <c r="F363" s="10"/>
      <c r="G363" s="12" t="str">
        <f aca="false">IF(D363="","",IF(OR(D363="WhatsApp",D363="Apagado"),"No","Sí"))</f>
        <v/>
      </c>
      <c r="H363" s="10"/>
      <c r="I363" s="20"/>
      <c r="J363" s="10"/>
      <c r="K363" s="1"/>
    </row>
    <row r="364" customFormat="false" ht="15" hidden="false" customHeight="false" outlineLevel="0" collapsed="false">
      <c r="A364" s="1"/>
      <c r="B364" s="15"/>
      <c r="C364" s="15"/>
      <c r="D364" s="15"/>
      <c r="E364" s="15"/>
      <c r="F364" s="15"/>
      <c r="G364" s="17" t="str">
        <f aca="false">IF(D364="","",IF(OR(D364="WhatsApp",D364="Apagado"),"No","Sí"))</f>
        <v/>
      </c>
      <c r="H364" s="15"/>
      <c r="I364" s="21"/>
      <c r="J364" s="15"/>
      <c r="K364" s="1"/>
    </row>
    <row r="365" customFormat="false" ht="15" hidden="false" customHeight="false" outlineLevel="0" collapsed="false">
      <c r="A365" s="1"/>
      <c r="B365" s="10"/>
      <c r="C365" s="10"/>
      <c r="D365" s="10"/>
      <c r="E365" s="10"/>
      <c r="F365" s="10"/>
      <c r="G365" s="12" t="str">
        <f aca="false">IF(D365="","",IF(OR(D365="WhatsApp",D365="Apagado"),"No","Sí"))</f>
        <v/>
      </c>
      <c r="H365" s="10"/>
      <c r="I365" s="20"/>
      <c r="J365" s="10"/>
      <c r="K365" s="1"/>
    </row>
    <row r="366" customFormat="false" ht="15" hidden="false" customHeight="false" outlineLevel="0" collapsed="false">
      <c r="A366" s="1"/>
      <c r="B366" s="15"/>
      <c r="C366" s="15"/>
      <c r="D366" s="15"/>
      <c r="E366" s="15"/>
      <c r="F366" s="15"/>
      <c r="G366" s="17" t="str">
        <f aca="false">IF(D366="","",IF(OR(D366="WhatsApp",D366="Apagado"),"No","Sí"))</f>
        <v/>
      </c>
      <c r="H366" s="15"/>
      <c r="I366" s="21"/>
      <c r="J366" s="15"/>
      <c r="K366" s="1"/>
    </row>
    <row r="367" customFormat="false" ht="15" hidden="false" customHeight="false" outlineLevel="0" collapsed="false">
      <c r="A367" s="1"/>
      <c r="B367" s="10"/>
      <c r="C367" s="10"/>
      <c r="D367" s="10"/>
      <c r="E367" s="10"/>
      <c r="F367" s="10"/>
      <c r="G367" s="12" t="str">
        <f aca="false">IF(D367="","",IF(OR(D367="WhatsApp",D367="Apagado"),"No","Sí"))</f>
        <v/>
      </c>
      <c r="H367" s="10"/>
      <c r="I367" s="20"/>
      <c r="J367" s="10"/>
      <c r="K367" s="1"/>
    </row>
    <row r="368" customFormat="false" ht="15" hidden="false" customHeight="false" outlineLevel="0" collapsed="false">
      <c r="A368" s="1"/>
      <c r="B368" s="15"/>
      <c r="C368" s="15"/>
      <c r="D368" s="15"/>
      <c r="E368" s="15"/>
      <c r="F368" s="15"/>
      <c r="G368" s="17" t="str">
        <f aca="false">IF(D368="","",IF(OR(D368="WhatsApp",D368="Apagado"),"No","Sí"))</f>
        <v/>
      </c>
      <c r="H368" s="15"/>
      <c r="I368" s="21"/>
      <c r="J368" s="15"/>
      <c r="K368" s="1"/>
    </row>
    <row r="369" customFormat="false" ht="15" hidden="false" customHeight="false" outlineLevel="0" collapsed="false">
      <c r="A369" s="1"/>
      <c r="B369" s="10"/>
      <c r="C369" s="10"/>
      <c r="D369" s="10"/>
      <c r="E369" s="10"/>
      <c r="F369" s="10"/>
      <c r="G369" s="12" t="str">
        <f aca="false">IF(D369="","",IF(OR(D369="WhatsApp",D369="Apagado"),"No","Sí"))</f>
        <v/>
      </c>
      <c r="H369" s="10"/>
      <c r="I369" s="20"/>
      <c r="J369" s="10"/>
      <c r="K369" s="1"/>
    </row>
    <row r="370" customFormat="false" ht="15" hidden="false" customHeight="false" outlineLevel="0" collapsed="false">
      <c r="A370" s="1"/>
      <c r="B370" s="15"/>
      <c r="C370" s="15"/>
      <c r="D370" s="15"/>
      <c r="E370" s="15"/>
      <c r="F370" s="15"/>
      <c r="G370" s="17" t="str">
        <f aca="false">IF(D370="","",IF(OR(D370="WhatsApp",D370="Apagado"),"No","Sí"))</f>
        <v/>
      </c>
      <c r="H370" s="15"/>
      <c r="I370" s="21"/>
      <c r="J370" s="15"/>
      <c r="K370" s="1"/>
    </row>
    <row r="371" customFormat="false" ht="15" hidden="false" customHeight="false" outlineLevel="0" collapsed="false">
      <c r="A371" s="1"/>
      <c r="B371" s="10"/>
      <c r="C371" s="10"/>
      <c r="D371" s="10"/>
      <c r="E371" s="10"/>
      <c r="F371" s="10"/>
      <c r="G371" s="12" t="str">
        <f aca="false">IF(D371="","",IF(OR(D371="WhatsApp",D371="Apagado"),"No","Sí"))</f>
        <v/>
      </c>
      <c r="H371" s="10"/>
      <c r="I371" s="20"/>
      <c r="J371" s="10"/>
      <c r="K371" s="1"/>
    </row>
    <row r="372" customFormat="false" ht="15" hidden="false" customHeight="false" outlineLevel="0" collapsed="false">
      <c r="A372" s="1"/>
      <c r="B372" s="15"/>
      <c r="C372" s="15"/>
      <c r="D372" s="15"/>
      <c r="E372" s="15"/>
      <c r="F372" s="15"/>
      <c r="G372" s="17" t="str">
        <f aca="false">IF(D372="","",IF(OR(D372="WhatsApp",D372="Apagado"),"No","Sí"))</f>
        <v/>
      </c>
      <c r="H372" s="15"/>
      <c r="I372" s="21"/>
      <c r="J372" s="15"/>
      <c r="K372" s="1"/>
    </row>
    <row r="373" customFormat="false" ht="15" hidden="false" customHeight="false" outlineLevel="0" collapsed="false">
      <c r="A373" s="1"/>
      <c r="B373" s="10"/>
      <c r="C373" s="10"/>
      <c r="D373" s="10"/>
      <c r="E373" s="10"/>
      <c r="F373" s="10"/>
      <c r="G373" s="12" t="str">
        <f aca="false">IF(D373="","",IF(OR(D373="WhatsApp",D373="Apagado"),"No","Sí"))</f>
        <v/>
      </c>
      <c r="H373" s="10"/>
      <c r="I373" s="20"/>
      <c r="J373" s="10"/>
      <c r="K373" s="1"/>
    </row>
    <row r="374" customFormat="false" ht="15" hidden="false" customHeight="false" outlineLevel="0" collapsed="false">
      <c r="A374" s="1"/>
      <c r="B374" s="15"/>
      <c r="C374" s="15"/>
      <c r="D374" s="15"/>
      <c r="E374" s="15"/>
      <c r="F374" s="15"/>
      <c r="G374" s="17" t="str">
        <f aca="false">IF(D374="","",IF(OR(D374="WhatsApp",D374="Apagado"),"No","Sí"))</f>
        <v/>
      </c>
      <c r="H374" s="15"/>
      <c r="I374" s="21"/>
      <c r="J374" s="15"/>
      <c r="K374" s="1"/>
    </row>
    <row r="375" customFormat="false" ht="15" hidden="false" customHeight="false" outlineLevel="0" collapsed="false">
      <c r="A375" s="1"/>
      <c r="B375" s="10"/>
      <c r="C375" s="10"/>
      <c r="D375" s="10"/>
      <c r="E375" s="10"/>
      <c r="F375" s="10"/>
      <c r="G375" s="12" t="str">
        <f aca="false">IF(D375="","",IF(OR(D375="WhatsApp",D375="Apagado"),"No","Sí"))</f>
        <v/>
      </c>
      <c r="H375" s="10"/>
      <c r="I375" s="20"/>
      <c r="J375" s="10"/>
      <c r="K375" s="1"/>
    </row>
    <row r="376" customFormat="false" ht="15" hidden="false" customHeight="false" outlineLevel="0" collapsed="false">
      <c r="A376" s="1"/>
      <c r="B376" s="15"/>
      <c r="C376" s="15"/>
      <c r="D376" s="15"/>
      <c r="E376" s="15"/>
      <c r="F376" s="15"/>
      <c r="G376" s="17" t="str">
        <f aca="false">IF(D376="","",IF(OR(D376="WhatsApp",D376="Apagado"),"No","Sí"))</f>
        <v/>
      </c>
      <c r="H376" s="15"/>
      <c r="I376" s="21"/>
      <c r="J376" s="15"/>
      <c r="K376" s="1"/>
    </row>
    <row r="377" customFormat="false" ht="15" hidden="false" customHeight="false" outlineLevel="0" collapsed="false">
      <c r="A377" s="1"/>
      <c r="B377" s="10"/>
      <c r="C377" s="10"/>
      <c r="D377" s="10"/>
      <c r="E377" s="10"/>
      <c r="F377" s="10"/>
      <c r="G377" s="12" t="str">
        <f aca="false">IF(D377="","",IF(OR(D377="WhatsApp",D377="Apagado"),"No","Sí"))</f>
        <v/>
      </c>
      <c r="H377" s="10"/>
      <c r="I377" s="20"/>
      <c r="J377" s="10"/>
      <c r="K377" s="1"/>
    </row>
    <row r="378" customFormat="false" ht="15" hidden="false" customHeight="false" outlineLevel="0" collapsed="false">
      <c r="A378" s="1"/>
      <c r="B378" s="15"/>
      <c r="C378" s="15"/>
      <c r="D378" s="15"/>
      <c r="E378" s="15"/>
      <c r="F378" s="15"/>
      <c r="G378" s="17" t="str">
        <f aca="false">IF(D378="","",IF(OR(D378="WhatsApp",D378="Apagado"),"No","Sí"))</f>
        <v/>
      </c>
      <c r="H378" s="15"/>
      <c r="I378" s="21"/>
      <c r="J378" s="15"/>
      <c r="K378" s="1"/>
    </row>
    <row r="379" customFormat="false" ht="15" hidden="false" customHeight="false" outlineLevel="0" collapsed="false">
      <c r="A379" s="1"/>
      <c r="B379" s="10"/>
      <c r="C379" s="10"/>
      <c r="D379" s="10"/>
      <c r="E379" s="10"/>
      <c r="F379" s="10"/>
      <c r="G379" s="12" t="str">
        <f aca="false">IF(D379="","",IF(OR(D379="WhatsApp",D379="Apagado"),"No","Sí"))</f>
        <v/>
      </c>
      <c r="H379" s="10"/>
      <c r="I379" s="20"/>
      <c r="J379" s="10"/>
      <c r="K379" s="1"/>
    </row>
    <row r="380" customFormat="false" ht="15" hidden="false" customHeight="false" outlineLevel="0" collapsed="false">
      <c r="A380" s="1"/>
      <c r="B380" s="15"/>
      <c r="C380" s="15"/>
      <c r="D380" s="15"/>
      <c r="E380" s="15"/>
      <c r="F380" s="15"/>
      <c r="G380" s="17" t="str">
        <f aca="false">IF(D380="","",IF(OR(D380="WhatsApp",D380="Apagado"),"No","Sí"))</f>
        <v/>
      </c>
      <c r="H380" s="15"/>
      <c r="I380" s="21"/>
      <c r="J380" s="15"/>
      <c r="K380" s="1"/>
    </row>
    <row r="381" customFormat="false" ht="15" hidden="false" customHeight="false" outlineLevel="0" collapsed="false">
      <c r="A381" s="1"/>
      <c r="B381" s="10"/>
      <c r="C381" s="10"/>
      <c r="D381" s="10"/>
      <c r="E381" s="10"/>
      <c r="F381" s="10"/>
      <c r="G381" s="12" t="str">
        <f aca="false">IF(D381="","",IF(OR(D381="WhatsApp",D381="Apagado"),"No","Sí"))</f>
        <v/>
      </c>
      <c r="H381" s="10"/>
      <c r="I381" s="20"/>
      <c r="J381" s="10"/>
      <c r="K381" s="1"/>
    </row>
    <row r="382" customFormat="false" ht="15" hidden="false" customHeight="false" outlineLevel="0" collapsed="false">
      <c r="A382" s="1"/>
      <c r="B382" s="15"/>
      <c r="C382" s="15"/>
      <c r="D382" s="15"/>
      <c r="E382" s="15"/>
      <c r="F382" s="15"/>
      <c r="G382" s="17" t="str">
        <f aca="false">IF(D382="","",IF(OR(D382="WhatsApp",D382="Apagado"),"No","Sí"))</f>
        <v/>
      </c>
      <c r="H382" s="15"/>
      <c r="I382" s="21"/>
      <c r="J382" s="15"/>
      <c r="K382" s="1"/>
    </row>
    <row r="383" customFormat="false" ht="15" hidden="false" customHeight="false" outlineLevel="0" collapsed="false">
      <c r="A383" s="1"/>
      <c r="B383" s="10"/>
      <c r="C383" s="10"/>
      <c r="D383" s="10"/>
      <c r="E383" s="10"/>
      <c r="F383" s="10"/>
      <c r="G383" s="12" t="str">
        <f aca="false">IF(D383="","",IF(OR(D383="WhatsApp",D383="Apagado"),"No","Sí"))</f>
        <v/>
      </c>
      <c r="H383" s="10"/>
      <c r="I383" s="20"/>
      <c r="J383" s="10"/>
      <c r="K383" s="1"/>
    </row>
    <row r="384" customFormat="false" ht="15" hidden="false" customHeight="false" outlineLevel="0" collapsed="false">
      <c r="A384" s="1"/>
      <c r="B384" s="15"/>
      <c r="C384" s="15"/>
      <c r="D384" s="15"/>
      <c r="E384" s="15"/>
      <c r="F384" s="15"/>
      <c r="G384" s="17" t="str">
        <f aca="false">IF(D384="","",IF(OR(D384="WhatsApp",D384="Apagado"),"No","Sí"))</f>
        <v/>
      </c>
      <c r="H384" s="15"/>
      <c r="I384" s="21"/>
      <c r="J384" s="15"/>
      <c r="K384" s="1"/>
    </row>
    <row r="385" customFormat="false" ht="15" hidden="false" customHeight="false" outlineLevel="0" collapsed="false">
      <c r="A385" s="1"/>
      <c r="B385" s="10"/>
      <c r="C385" s="10"/>
      <c r="D385" s="10"/>
      <c r="E385" s="10"/>
      <c r="F385" s="10"/>
      <c r="G385" s="12" t="str">
        <f aca="false">IF(D385="","",IF(OR(D385="WhatsApp",D385="Apagado"),"No","Sí"))</f>
        <v/>
      </c>
      <c r="H385" s="10"/>
      <c r="I385" s="20"/>
      <c r="J385" s="10"/>
      <c r="K385" s="1"/>
    </row>
    <row r="386" customFormat="false" ht="15" hidden="false" customHeight="false" outlineLevel="0" collapsed="false">
      <c r="A386" s="1"/>
      <c r="B386" s="15"/>
      <c r="C386" s="15"/>
      <c r="D386" s="15"/>
      <c r="E386" s="15"/>
      <c r="F386" s="15"/>
      <c r="G386" s="17" t="str">
        <f aca="false">IF(D386="","",IF(OR(D386="WhatsApp",D386="Apagado"),"No","Sí"))</f>
        <v/>
      </c>
      <c r="H386" s="15"/>
      <c r="I386" s="21"/>
      <c r="J386" s="15"/>
      <c r="K386" s="1"/>
    </row>
    <row r="387" customFormat="false" ht="15" hidden="false" customHeight="false" outlineLevel="0" collapsed="false">
      <c r="A387" s="1"/>
      <c r="B387" s="10"/>
      <c r="C387" s="10"/>
      <c r="D387" s="10"/>
      <c r="E387" s="10"/>
      <c r="F387" s="10"/>
      <c r="G387" s="12" t="str">
        <f aca="false">IF(D387="","",IF(OR(D387="WhatsApp",D387="Apagado"),"No","Sí"))</f>
        <v/>
      </c>
      <c r="H387" s="10"/>
      <c r="I387" s="20"/>
      <c r="J387" s="10"/>
      <c r="K387" s="1"/>
    </row>
    <row r="388" customFormat="false" ht="15" hidden="false" customHeight="false" outlineLevel="0" collapsed="false">
      <c r="A388" s="1"/>
      <c r="B388" s="15"/>
      <c r="C388" s="15"/>
      <c r="D388" s="15"/>
      <c r="E388" s="15"/>
      <c r="F388" s="15"/>
      <c r="G388" s="17" t="str">
        <f aca="false">IF(D388="","",IF(OR(D388="WhatsApp",D388="Apagado"),"No","Sí"))</f>
        <v/>
      </c>
      <c r="H388" s="15"/>
      <c r="I388" s="21"/>
      <c r="J388" s="15"/>
      <c r="K388" s="1"/>
    </row>
    <row r="389" customFormat="false" ht="15" hidden="false" customHeight="false" outlineLevel="0" collapsed="false">
      <c r="A389" s="1"/>
      <c r="B389" s="10"/>
      <c r="C389" s="10"/>
      <c r="D389" s="10"/>
      <c r="E389" s="10"/>
      <c r="F389" s="10"/>
      <c r="G389" s="12" t="str">
        <f aca="false">IF(D389="","",IF(OR(D389="WhatsApp",D389="Apagado"),"No","Sí"))</f>
        <v/>
      </c>
      <c r="H389" s="10"/>
      <c r="I389" s="20"/>
      <c r="J389" s="10"/>
      <c r="K389" s="1"/>
    </row>
    <row r="390" customFormat="false" ht="15" hidden="false" customHeight="false" outlineLevel="0" collapsed="false">
      <c r="A390" s="1"/>
      <c r="B390" s="15"/>
      <c r="C390" s="15"/>
      <c r="D390" s="15"/>
      <c r="E390" s="15"/>
      <c r="F390" s="15"/>
      <c r="G390" s="17" t="str">
        <f aca="false">IF(D390="","",IF(OR(D390="WhatsApp",D390="Apagado"),"No","Sí"))</f>
        <v/>
      </c>
      <c r="H390" s="15"/>
      <c r="I390" s="21"/>
      <c r="J390" s="15"/>
      <c r="K390" s="1"/>
    </row>
    <row r="391" customFormat="false" ht="15" hidden="false" customHeight="false" outlineLevel="0" collapsed="false">
      <c r="A391" s="1"/>
      <c r="B391" s="10"/>
      <c r="C391" s="10"/>
      <c r="D391" s="10"/>
      <c r="E391" s="10"/>
      <c r="F391" s="10"/>
      <c r="G391" s="12" t="str">
        <f aca="false">IF(D391="","",IF(OR(D391="WhatsApp",D391="Apagado"),"No","Sí"))</f>
        <v/>
      </c>
      <c r="H391" s="10"/>
      <c r="I391" s="20"/>
      <c r="J391" s="10"/>
      <c r="K391" s="1"/>
    </row>
    <row r="392" customFormat="false" ht="15" hidden="false" customHeight="false" outlineLevel="0" collapsed="false">
      <c r="A392" s="1"/>
      <c r="B392" s="15"/>
      <c r="C392" s="15"/>
      <c r="D392" s="15"/>
      <c r="E392" s="15"/>
      <c r="F392" s="15"/>
      <c r="G392" s="17" t="str">
        <f aca="false">IF(D392="","",IF(OR(D392="WhatsApp",D392="Apagado"),"No","Sí"))</f>
        <v/>
      </c>
      <c r="H392" s="15"/>
      <c r="I392" s="21"/>
      <c r="J392" s="15"/>
      <c r="K392" s="1"/>
    </row>
    <row r="393" customFormat="false" ht="15" hidden="false" customHeight="false" outlineLevel="0" collapsed="false">
      <c r="A393" s="1"/>
      <c r="B393" s="10"/>
      <c r="C393" s="10"/>
      <c r="D393" s="10"/>
      <c r="E393" s="10"/>
      <c r="F393" s="10"/>
      <c r="G393" s="12" t="str">
        <f aca="false">IF(D393="","",IF(OR(D393="WhatsApp",D393="Apagado"),"No","Sí"))</f>
        <v/>
      </c>
      <c r="H393" s="10"/>
      <c r="I393" s="20"/>
      <c r="J393" s="10"/>
      <c r="K393" s="1"/>
    </row>
    <row r="394" customFormat="false" ht="15" hidden="false" customHeight="false" outlineLevel="0" collapsed="false">
      <c r="A394" s="1"/>
      <c r="B394" s="15"/>
      <c r="C394" s="15"/>
      <c r="D394" s="15"/>
      <c r="E394" s="15"/>
      <c r="F394" s="15"/>
      <c r="G394" s="17" t="str">
        <f aca="false">IF(D394="","",IF(OR(D394="WhatsApp",D394="Apagado"),"No","Sí"))</f>
        <v/>
      </c>
      <c r="H394" s="15"/>
      <c r="I394" s="21"/>
      <c r="J394" s="15"/>
      <c r="K394" s="1"/>
    </row>
    <row r="395" customFormat="false" ht="15" hidden="false" customHeight="false" outlineLevel="0" collapsed="false">
      <c r="A395" s="1"/>
      <c r="B395" s="10"/>
      <c r="C395" s="10"/>
      <c r="D395" s="10"/>
      <c r="E395" s="10"/>
      <c r="F395" s="10"/>
      <c r="G395" s="12" t="str">
        <f aca="false">IF(D395="","",IF(OR(D395="WhatsApp",D395="Apagado"),"No","Sí"))</f>
        <v/>
      </c>
      <c r="H395" s="10"/>
      <c r="I395" s="20"/>
      <c r="J395" s="10"/>
      <c r="K395" s="1"/>
    </row>
    <row r="396" customFormat="false" ht="15" hidden="false" customHeight="false" outlineLevel="0" collapsed="false">
      <c r="A396" s="1"/>
      <c r="B396" s="15"/>
      <c r="C396" s="15"/>
      <c r="D396" s="15"/>
      <c r="E396" s="15"/>
      <c r="F396" s="15"/>
      <c r="G396" s="17" t="str">
        <f aca="false">IF(D396="","",IF(OR(D396="WhatsApp",D396="Apagado"),"No","Sí"))</f>
        <v/>
      </c>
      <c r="H396" s="15"/>
      <c r="I396" s="21"/>
      <c r="J396" s="15"/>
      <c r="K396" s="1"/>
    </row>
    <row r="397" customFormat="false" ht="15" hidden="false" customHeight="false" outlineLevel="0" collapsed="false">
      <c r="A397" s="1"/>
      <c r="B397" s="10"/>
      <c r="C397" s="10"/>
      <c r="D397" s="10"/>
      <c r="E397" s="10"/>
      <c r="F397" s="10"/>
      <c r="G397" s="12" t="str">
        <f aca="false">IF(D397="","",IF(OR(D397="WhatsApp",D397="Apagado"),"No","Sí"))</f>
        <v/>
      </c>
      <c r="H397" s="10"/>
      <c r="I397" s="20"/>
      <c r="J397" s="10"/>
      <c r="K397" s="1"/>
    </row>
    <row r="398" customFormat="false" ht="15" hidden="false" customHeight="false" outlineLevel="0" collapsed="false">
      <c r="A398" s="1"/>
      <c r="B398" s="15"/>
      <c r="C398" s="15"/>
      <c r="D398" s="15"/>
      <c r="E398" s="15"/>
      <c r="F398" s="15"/>
      <c r="G398" s="17" t="str">
        <f aca="false">IF(D398="","",IF(OR(D398="WhatsApp",D398="Apagado"),"No","Sí"))</f>
        <v/>
      </c>
      <c r="H398" s="15"/>
      <c r="I398" s="21"/>
      <c r="J398" s="15"/>
      <c r="K398" s="1"/>
    </row>
    <row r="399" customFormat="false" ht="15" hidden="false" customHeight="false" outlineLevel="0" collapsed="false">
      <c r="A399" s="1"/>
      <c r="B399" s="10"/>
      <c r="C399" s="10"/>
      <c r="D399" s="10"/>
      <c r="E399" s="10"/>
      <c r="F399" s="10"/>
      <c r="G399" s="12" t="str">
        <f aca="false">IF(D399="","",IF(OR(D399="WhatsApp",D399="Apagado"),"No","Sí"))</f>
        <v/>
      </c>
      <c r="H399" s="10"/>
      <c r="I399" s="20"/>
      <c r="J399" s="10"/>
      <c r="K399" s="1"/>
    </row>
    <row r="400" customFormat="false" ht="15" hidden="false" customHeight="false" outlineLevel="0" collapsed="false">
      <c r="A400" s="1"/>
      <c r="B400" s="15"/>
      <c r="C400" s="15"/>
      <c r="D400" s="15"/>
      <c r="E400" s="15"/>
      <c r="F400" s="15"/>
      <c r="G400" s="17" t="str">
        <f aca="false">IF(D400="","",IF(OR(D400="WhatsApp",D400="Apagado"),"No","Sí"))</f>
        <v/>
      </c>
      <c r="H400" s="15"/>
      <c r="I400" s="21"/>
      <c r="J400" s="15"/>
      <c r="K400" s="1"/>
    </row>
    <row r="401" customFormat="false" ht="15" hidden="false" customHeight="false" outlineLevel="0" collapsed="false">
      <c r="A401" s="1"/>
      <c r="B401" s="10"/>
      <c r="C401" s="10"/>
      <c r="D401" s="10"/>
      <c r="E401" s="10"/>
      <c r="F401" s="10"/>
      <c r="G401" s="12" t="str">
        <f aca="false">IF(D401="","",IF(OR(D401="WhatsApp",D401="Apagado"),"No","Sí"))</f>
        <v/>
      </c>
      <c r="H401" s="10"/>
      <c r="I401" s="20"/>
      <c r="J401" s="10"/>
      <c r="K401" s="1"/>
    </row>
    <row r="402" customFormat="false" ht="15" hidden="false" customHeight="false" outlineLevel="0" collapsed="false">
      <c r="A402" s="1"/>
      <c r="B402" s="15"/>
      <c r="C402" s="15"/>
      <c r="D402" s="15"/>
      <c r="E402" s="15"/>
      <c r="F402" s="15"/>
      <c r="G402" s="17" t="str">
        <f aca="false">IF(D402="","",IF(OR(D402="WhatsApp",D402="Apagado"),"No","Sí"))</f>
        <v/>
      </c>
      <c r="H402" s="15"/>
      <c r="I402" s="21"/>
      <c r="J402" s="15"/>
      <c r="K402" s="1"/>
    </row>
    <row r="403" customFormat="false" ht="15" hidden="false" customHeight="false" outlineLevel="0" collapsed="false">
      <c r="A403" s="1"/>
      <c r="B403" s="10"/>
      <c r="C403" s="10"/>
      <c r="D403" s="10"/>
      <c r="E403" s="10"/>
      <c r="F403" s="10"/>
      <c r="G403" s="12" t="str">
        <f aca="false">IF(D403="","",IF(OR(D403="WhatsApp",D403="Apagado"),"No","Sí"))</f>
        <v/>
      </c>
      <c r="H403" s="10"/>
      <c r="I403" s="20"/>
      <c r="J403" s="10"/>
      <c r="K403" s="1"/>
    </row>
    <row r="404" customFormat="false" ht="15" hidden="false" customHeight="false" outlineLevel="0" collapsed="false">
      <c r="A404" s="1"/>
      <c r="B404" s="15"/>
      <c r="C404" s="15"/>
      <c r="D404" s="15"/>
      <c r="E404" s="15"/>
      <c r="F404" s="15"/>
      <c r="G404" s="17" t="str">
        <f aca="false">IF(D404="","",IF(OR(D404="WhatsApp",D404="Apagado"),"No","Sí"))</f>
        <v/>
      </c>
      <c r="H404" s="15"/>
      <c r="I404" s="21"/>
      <c r="J404" s="15"/>
      <c r="K404" s="1"/>
    </row>
    <row r="405" customFormat="false" ht="15" hidden="false" customHeight="false" outlineLevel="0" collapsed="false">
      <c r="A405" s="1"/>
      <c r="B405" s="10"/>
      <c r="C405" s="10"/>
      <c r="D405" s="10"/>
      <c r="E405" s="10"/>
      <c r="F405" s="10"/>
      <c r="G405" s="12" t="str">
        <f aca="false">IF(D405="","",IF(OR(D405="WhatsApp",D405="Apagado"),"No","Sí"))</f>
        <v/>
      </c>
      <c r="H405" s="10"/>
      <c r="I405" s="20"/>
      <c r="J405" s="10"/>
      <c r="K405" s="1"/>
    </row>
    <row r="406" customFormat="false" ht="15" hidden="false" customHeight="false" outlineLevel="0" collapsed="false">
      <c r="A406" s="1"/>
      <c r="B406" s="15"/>
      <c r="C406" s="15"/>
      <c r="D406" s="15"/>
      <c r="E406" s="15"/>
      <c r="F406" s="15"/>
      <c r="G406" s="17" t="str">
        <f aca="false">IF(D406="","",IF(OR(D406="WhatsApp",D406="Apagado"),"No","Sí"))</f>
        <v/>
      </c>
      <c r="H406" s="15"/>
      <c r="I406" s="21"/>
      <c r="J406" s="15"/>
      <c r="K406" s="1"/>
    </row>
    <row r="407" customFormat="false" ht="15" hidden="false" customHeight="false" outlineLevel="0" collapsed="false">
      <c r="A407" s="1"/>
      <c r="B407" s="10"/>
      <c r="C407" s="10"/>
      <c r="D407" s="10"/>
      <c r="E407" s="10"/>
      <c r="F407" s="10"/>
      <c r="G407" s="12" t="str">
        <f aca="false">IF(D407="","",IF(OR(D407="WhatsApp",D407="Apagado"),"No","Sí"))</f>
        <v/>
      </c>
      <c r="H407" s="10"/>
      <c r="I407" s="20"/>
      <c r="J407" s="10"/>
      <c r="K407" s="1"/>
    </row>
    <row r="408" customFormat="false" ht="15" hidden="false" customHeight="false" outlineLevel="0" collapsed="false">
      <c r="A408" s="1"/>
      <c r="B408" s="15"/>
      <c r="C408" s="15"/>
      <c r="D408" s="15"/>
      <c r="E408" s="15"/>
      <c r="F408" s="15"/>
      <c r="G408" s="17" t="str">
        <f aca="false">IF(D408="","",IF(OR(D408="WhatsApp",D408="Apagado"),"No","Sí"))</f>
        <v/>
      </c>
      <c r="H408" s="15"/>
      <c r="I408" s="21"/>
      <c r="J408" s="15"/>
      <c r="K408" s="1"/>
    </row>
    <row r="409" customFormat="false" ht="15" hidden="false" customHeight="false" outlineLevel="0" collapsed="false">
      <c r="A409" s="1"/>
      <c r="B409" s="10"/>
      <c r="C409" s="10"/>
      <c r="D409" s="10"/>
      <c r="E409" s="10"/>
      <c r="F409" s="10"/>
      <c r="G409" s="12" t="str">
        <f aca="false">IF(D409="","",IF(OR(D409="WhatsApp",D409="Apagado"),"No","Sí"))</f>
        <v/>
      </c>
      <c r="H409" s="10"/>
      <c r="I409" s="20"/>
      <c r="J409" s="10"/>
      <c r="K409" s="1"/>
    </row>
    <row r="410" customFormat="false" ht="15" hidden="false" customHeight="false" outlineLevel="0" collapsed="false">
      <c r="A410" s="1"/>
      <c r="B410" s="15"/>
      <c r="C410" s="15"/>
      <c r="D410" s="15"/>
      <c r="E410" s="15"/>
      <c r="F410" s="15"/>
      <c r="G410" s="17" t="str">
        <f aca="false">IF(D410="","",IF(OR(D410="WhatsApp",D410="Apagado"),"No","Sí"))</f>
        <v/>
      </c>
      <c r="H410" s="15"/>
      <c r="I410" s="21"/>
      <c r="J410" s="15"/>
      <c r="K410" s="1"/>
    </row>
    <row r="411" customFormat="false" ht="15" hidden="false" customHeight="false" outlineLevel="0" collapsed="false">
      <c r="A411" s="1"/>
      <c r="B411" s="10"/>
      <c r="C411" s="10"/>
      <c r="D411" s="10"/>
      <c r="E411" s="10"/>
      <c r="F411" s="10"/>
      <c r="G411" s="12" t="str">
        <f aca="false">IF(D411="","",IF(OR(D411="WhatsApp",D411="Apagado"),"No","Sí"))</f>
        <v/>
      </c>
      <c r="H411" s="10"/>
      <c r="I411" s="20"/>
      <c r="J411" s="10"/>
      <c r="K411" s="1"/>
    </row>
    <row r="412" customFormat="false" ht="15" hidden="false" customHeight="false" outlineLevel="0" collapsed="false">
      <c r="A412" s="1"/>
      <c r="B412" s="15"/>
      <c r="C412" s="15"/>
      <c r="D412" s="15"/>
      <c r="E412" s="15"/>
      <c r="F412" s="15"/>
      <c r="G412" s="17" t="str">
        <f aca="false">IF(D412="","",IF(OR(D412="WhatsApp",D412="Apagado"),"No","Sí"))</f>
        <v/>
      </c>
      <c r="H412" s="15"/>
      <c r="I412" s="21"/>
      <c r="J412" s="15"/>
      <c r="K412" s="1"/>
    </row>
    <row r="413" customFormat="false" ht="15" hidden="false" customHeight="false" outlineLevel="0" collapsed="false">
      <c r="A413" s="1"/>
      <c r="B413" s="10"/>
      <c r="C413" s="10"/>
      <c r="D413" s="10"/>
      <c r="E413" s="10"/>
      <c r="F413" s="10"/>
      <c r="G413" s="12" t="str">
        <f aca="false">IF(D413="","",IF(OR(D413="WhatsApp",D413="Apagado"),"No","Sí"))</f>
        <v/>
      </c>
      <c r="H413" s="10"/>
      <c r="I413" s="20"/>
      <c r="J413" s="10"/>
      <c r="K413" s="1"/>
    </row>
    <row r="414" customFormat="false" ht="15" hidden="false" customHeight="false" outlineLevel="0" collapsed="false">
      <c r="A414" s="1"/>
      <c r="B414" s="15"/>
      <c r="C414" s="15"/>
      <c r="D414" s="15"/>
      <c r="E414" s="15"/>
      <c r="F414" s="15"/>
      <c r="G414" s="17" t="str">
        <f aca="false">IF(D414="","",IF(OR(D414="WhatsApp",D414="Apagado"),"No","Sí"))</f>
        <v/>
      </c>
      <c r="H414" s="15"/>
      <c r="I414" s="21"/>
      <c r="J414" s="15"/>
      <c r="K414" s="1"/>
    </row>
    <row r="415" customFormat="false" ht="15" hidden="false" customHeight="false" outlineLevel="0" collapsed="false">
      <c r="A415" s="1"/>
      <c r="B415" s="10"/>
      <c r="C415" s="10"/>
      <c r="D415" s="10"/>
      <c r="E415" s="10"/>
      <c r="F415" s="10"/>
      <c r="G415" s="12" t="str">
        <f aca="false">IF(D415="","",IF(OR(D415="WhatsApp",D415="Apagado"),"No","Sí"))</f>
        <v/>
      </c>
      <c r="H415" s="10"/>
      <c r="I415" s="20"/>
      <c r="J415" s="10"/>
      <c r="K415" s="1"/>
    </row>
    <row r="416" customFormat="false" ht="15" hidden="false" customHeight="false" outlineLevel="0" collapsed="false">
      <c r="A416" s="1"/>
      <c r="B416" s="15"/>
      <c r="C416" s="15"/>
      <c r="D416" s="15"/>
      <c r="E416" s="15"/>
      <c r="F416" s="15"/>
      <c r="G416" s="17" t="str">
        <f aca="false">IF(D416="","",IF(OR(D416="WhatsApp",D416="Apagado"),"No","Sí"))</f>
        <v/>
      </c>
      <c r="H416" s="15"/>
      <c r="I416" s="21"/>
      <c r="J416" s="15"/>
      <c r="K416" s="1"/>
    </row>
    <row r="417" customFormat="false" ht="15" hidden="false" customHeight="false" outlineLevel="0" collapsed="false">
      <c r="A417" s="1"/>
      <c r="B417" s="10"/>
      <c r="C417" s="10"/>
      <c r="D417" s="10"/>
      <c r="E417" s="10"/>
      <c r="F417" s="10"/>
      <c r="G417" s="12" t="str">
        <f aca="false">IF(D417="","",IF(OR(D417="WhatsApp",D417="Apagado"),"No","Sí"))</f>
        <v/>
      </c>
      <c r="H417" s="10"/>
      <c r="I417" s="20"/>
      <c r="J417" s="10"/>
      <c r="K417" s="1"/>
    </row>
    <row r="418" customFormat="false" ht="15" hidden="false" customHeight="false" outlineLevel="0" collapsed="false">
      <c r="A418" s="1"/>
      <c r="B418" s="15"/>
      <c r="C418" s="15"/>
      <c r="D418" s="15"/>
      <c r="E418" s="15"/>
      <c r="F418" s="15"/>
      <c r="G418" s="17" t="str">
        <f aca="false">IF(D418="","",IF(OR(D418="WhatsApp",D418="Apagado"),"No","Sí"))</f>
        <v/>
      </c>
      <c r="H418" s="15"/>
      <c r="I418" s="21"/>
      <c r="J418" s="15"/>
      <c r="K418" s="1"/>
    </row>
    <row r="419" customFormat="false" ht="15" hidden="false" customHeight="false" outlineLevel="0" collapsed="false">
      <c r="A419" s="1"/>
      <c r="B419" s="10"/>
      <c r="C419" s="10"/>
      <c r="D419" s="10"/>
      <c r="E419" s="10"/>
      <c r="F419" s="10"/>
      <c r="G419" s="12" t="str">
        <f aca="false">IF(D419="","",IF(OR(D419="WhatsApp",D419="Apagado"),"No","Sí"))</f>
        <v/>
      </c>
      <c r="H419" s="10"/>
      <c r="I419" s="20"/>
      <c r="J419" s="10"/>
      <c r="K419" s="1"/>
    </row>
    <row r="420" customFormat="false" ht="15" hidden="false" customHeight="false" outlineLevel="0" collapsed="false">
      <c r="A420" s="1"/>
      <c r="B420" s="15"/>
      <c r="C420" s="15"/>
      <c r="D420" s="15"/>
      <c r="E420" s="15"/>
      <c r="F420" s="15"/>
      <c r="G420" s="17" t="str">
        <f aca="false">IF(D420="","",IF(OR(D420="WhatsApp",D420="Apagado"),"No","Sí"))</f>
        <v/>
      </c>
      <c r="H420" s="15"/>
      <c r="I420" s="21"/>
      <c r="J420" s="15"/>
      <c r="K420" s="1"/>
    </row>
    <row r="421" customFormat="false" ht="15" hidden="false" customHeight="false" outlineLevel="0" collapsed="false">
      <c r="A421" s="1"/>
      <c r="B421" s="10"/>
      <c r="C421" s="10"/>
      <c r="D421" s="10"/>
      <c r="E421" s="10"/>
      <c r="F421" s="10"/>
      <c r="G421" s="12" t="str">
        <f aca="false">IF(D421="","",IF(OR(D421="WhatsApp",D421="Apagado"),"No","Sí"))</f>
        <v/>
      </c>
      <c r="H421" s="10"/>
      <c r="I421" s="20"/>
      <c r="J421" s="10"/>
      <c r="K421" s="1"/>
    </row>
    <row r="422" customFormat="false" ht="15" hidden="false" customHeight="false" outlineLevel="0" collapsed="false">
      <c r="A422" s="1"/>
      <c r="B422" s="15"/>
      <c r="C422" s="15"/>
      <c r="D422" s="15"/>
      <c r="E422" s="15"/>
      <c r="F422" s="15"/>
      <c r="G422" s="17" t="str">
        <f aca="false">IF(D422="","",IF(OR(D422="WhatsApp",D422="Apagado"),"No","Sí"))</f>
        <v/>
      </c>
      <c r="H422" s="15"/>
      <c r="I422" s="21"/>
      <c r="J422" s="15"/>
      <c r="K422" s="1"/>
    </row>
    <row r="423" customFormat="false" ht="15" hidden="false" customHeight="false" outlineLevel="0" collapsed="false">
      <c r="A423" s="1"/>
      <c r="B423" s="10"/>
      <c r="C423" s="10"/>
      <c r="D423" s="10"/>
      <c r="E423" s="10"/>
      <c r="F423" s="10"/>
      <c r="G423" s="12" t="str">
        <f aca="false">IF(D423="","",IF(OR(D423="WhatsApp",D423="Apagado"),"No","Sí"))</f>
        <v/>
      </c>
      <c r="H423" s="10"/>
      <c r="I423" s="20"/>
      <c r="J423" s="10"/>
      <c r="K423" s="1"/>
    </row>
    <row r="424" customFormat="false" ht="15" hidden="false" customHeight="false" outlineLevel="0" collapsed="false">
      <c r="A424" s="1"/>
      <c r="B424" s="15"/>
      <c r="C424" s="15"/>
      <c r="D424" s="15"/>
      <c r="E424" s="15"/>
      <c r="F424" s="15"/>
      <c r="G424" s="17" t="str">
        <f aca="false">IF(D424="","",IF(OR(D424="WhatsApp",D424="Apagado"),"No","Sí"))</f>
        <v/>
      </c>
      <c r="H424" s="15"/>
      <c r="I424" s="21"/>
      <c r="J424" s="15"/>
      <c r="K424" s="1"/>
    </row>
    <row r="425" customFormat="false" ht="15" hidden="false" customHeight="false" outlineLevel="0" collapsed="false">
      <c r="A425" s="1"/>
      <c r="B425" s="10"/>
      <c r="C425" s="10"/>
      <c r="D425" s="10"/>
      <c r="E425" s="10"/>
      <c r="F425" s="10"/>
      <c r="G425" s="12" t="str">
        <f aca="false">IF(D425="","",IF(OR(D425="WhatsApp",D425="Apagado"),"No","Sí"))</f>
        <v/>
      </c>
      <c r="H425" s="10"/>
      <c r="I425" s="20"/>
      <c r="J425" s="10"/>
      <c r="K425" s="1"/>
    </row>
    <row r="426" customFormat="false" ht="15" hidden="false" customHeight="false" outlineLevel="0" collapsed="false">
      <c r="A426" s="1"/>
      <c r="B426" s="15"/>
      <c r="C426" s="15"/>
      <c r="D426" s="15"/>
      <c r="E426" s="15"/>
      <c r="F426" s="15"/>
      <c r="G426" s="17" t="str">
        <f aca="false">IF(D426="","",IF(OR(D426="WhatsApp",D426="Apagado"),"No","Sí"))</f>
        <v/>
      </c>
      <c r="H426" s="15"/>
      <c r="I426" s="21"/>
      <c r="J426" s="15"/>
      <c r="K426" s="1"/>
    </row>
    <row r="427" customFormat="false" ht="15" hidden="false" customHeight="false" outlineLevel="0" collapsed="false">
      <c r="A427" s="1"/>
      <c r="B427" s="10"/>
      <c r="C427" s="10"/>
      <c r="D427" s="10"/>
      <c r="E427" s="10"/>
      <c r="F427" s="10"/>
      <c r="G427" s="12" t="str">
        <f aca="false">IF(D427="","",IF(OR(D427="WhatsApp",D427="Apagado"),"No","Sí"))</f>
        <v/>
      </c>
      <c r="H427" s="10"/>
      <c r="I427" s="20"/>
      <c r="J427" s="10"/>
      <c r="K427" s="1"/>
    </row>
    <row r="428" customFormat="false" ht="15" hidden="false" customHeight="false" outlineLevel="0" collapsed="false">
      <c r="A428" s="1"/>
      <c r="B428" s="15"/>
      <c r="C428" s="15"/>
      <c r="D428" s="15"/>
      <c r="E428" s="15"/>
      <c r="F428" s="15"/>
      <c r="G428" s="17" t="str">
        <f aca="false">IF(D428="","",IF(OR(D428="WhatsApp",D428="Apagado"),"No","Sí"))</f>
        <v/>
      </c>
      <c r="H428" s="15"/>
      <c r="I428" s="21"/>
      <c r="J428" s="15"/>
      <c r="K428" s="1"/>
    </row>
    <row r="429" customFormat="false" ht="15" hidden="false" customHeight="false" outlineLevel="0" collapsed="false">
      <c r="A429" s="1"/>
      <c r="B429" s="10"/>
      <c r="C429" s="10"/>
      <c r="D429" s="10"/>
      <c r="E429" s="10"/>
      <c r="F429" s="10"/>
      <c r="G429" s="12" t="str">
        <f aca="false">IF(D429="","",IF(OR(D429="WhatsApp",D429="Apagado"),"No","Sí"))</f>
        <v/>
      </c>
      <c r="H429" s="10"/>
      <c r="I429" s="20"/>
      <c r="J429" s="10"/>
      <c r="K429" s="1"/>
    </row>
    <row r="430" customFormat="false" ht="15" hidden="false" customHeight="false" outlineLevel="0" collapsed="false">
      <c r="A430" s="1"/>
      <c r="B430" s="15"/>
      <c r="C430" s="15"/>
      <c r="D430" s="15"/>
      <c r="E430" s="15"/>
      <c r="F430" s="15"/>
      <c r="G430" s="17" t="str">
        <f aca="false">IF(D430="","",IF(OR(D430="WhatsApp",D430="Apagado"),"No","Sí"))</f>
        <v/>
      </c>
      <c r="H430" s="15"/>
      <c r="I430" s="21"/>
      <c r="J430" s="15"/>
      <c r="K430" s="1"/>
    </row>
    <row r="431" customFormat="false" ht="15" hidden="false" customHeight="false" outlineLevel="0" collapsed="false">
      <c r="A431" s="1"/>
      <c r="B431" s="10"/>
      <c r="C431" s="10"/>
      <c r="D431" s="10"/>
      <c r="E431" s="10"/>
      <c r="F431" s="10"/>
      <c r="G431" s="12" t="str">
        <f aca="false">IF(D431="","",IF(OR(D431="WhatsApp",D431="Apagado"),"No","Sí"))</f>
        <v/>
      </c>
      <c r="H431" s="10"/>
      <c r="I431" s="20"/>
      <c r="J431" s="10"/>
      <c r="K431" s="1"/>
    </row>
    <row r="432" customFormat="false" ht="15" hidden="false" customHeight="false" outlineLevel="0" collapsed="false">
      <c r="A432" s="1"/>
      <c r="B432" s="15"/>
      <c r="C432" s="15"/>
      <c r="D432" s="15"/>
      <c r="E432" s="15"/>
      <c r="F432" s="15"/>
      <c r="G432" s="17" t="str">
        <f aca="false">IF(D432="","",IF(OR(D432="WhatsApp",D432="Apagado"),"No","Sí"))</f>
        <v/>
      </c>
      <c r="H432" s="15"/>
      <c r="I432" s="21"/>
      <c r="J432" s="15"/>
      <c r="K432" s="1"/>
    </row>
    <row r="433" customFormat="false" ht="15" hidden="false" customHeight="false" outlineLevel="0" collapsed="false">
      <c r="A433" s="1"/>
      <c r="B433" s="10"/>
      <c r="C433" s="10"/>
      <c r="D433" s="10"/>
      <c r="E433" s="10"/>
      <c r="F433" s="10"/>
      <c r="G433" s="12" t="str">
        <f aca="false">IF(D433="","",IF(OR(D433="WhatsApp",D433="Apagado"),"No","Sí"))</f>
        <v/>
      </c>
      <c r="H433" s="10"/>
      <c r="I433" s="20"/>
      <c r="J433" s="10"/>
      <c r="K433" s="1"/>
    </row>
    <row r="434" customFormat="false" ht="15" hidden="false" customHeight="false" outlineLevel="0" collapsed="false">
      <c r="A434" s="1"/>
      <c r="B434" s="15"/>
      <c r="C434" s="15"/>
      <c r="D434" s="15"/>
      <c r="E434" s="15"/>
      <c r="F434" s="15"/>
      <c r="G434" s="17" t="str">
        <f aca="false">IF(D434="","",IF(OR(D434="WhatsApp",D434="Apagado"),"No","Sí"))</f>
        <v/>
      </c>
      <c r="H434" s="15"/>
      <c r="I434" s="21"/>
      <c r="J434" s="15"/>
      <c r="K434" s="1"/>
    </row>
    <row r="435" customFormat="false" ht="15" hidden="false" customHeight="false" outlineLevel="0" collapsed="false">
      <c r="A435" s="1"/>
      <c r="B435" s="10"/>
      <c r="C435" s="10"/>
      <c r="D435" s="10"/>
      <c r="E435" s="10"/>
      <c r="F435" s="10"/>
      <c r="G435" s="12" t="str">
        <f aca="false">IF(D435="","",IF(OR(D435="WhatsApp",D435="Apagado"),"No","Sí"))</f>
        <v/>
      </c>
      <c r="H435" s="10"/>
      <c r="I435" s="20"/>
      <c r="J435" s="10"/>
      <c r="K435" s="1"/>
    </row>
    <row r="436" customFormat="false" ht="15" hidden="false" customHeight="false" outlineLevel="0" collapsed="false">
      <c r="A436" s="1"/>
      <c r="B436" s="15"/>
      <c r="C436" s="15"/>
      <c r="D436" s="15"/>
      <c r="E436" s="15"/>
      <c r="F436" s="15"/>
      <c r="G436" s="17" t="str">
        <f aca="false">IF(D436="","",IF(OR(D436="WhatsApp",D436="Apagado"),"No","Sí"))</f>
        <v/>
      </c>
      <c r="H436" s="15"/>
      <c r="I436" s="21"/>
      <c r="J436" s="15"/>
      <c r="K436" s="1"/>
    </row>
    <row r="437" customFormat="false" ht="15" hidden="false" customHeight="false" outlineLevel="0" collapsed="false">
      <c r="A437" s="1"/>
      <c r="B437" s="10"/>
      <c r="C437" s="10"/>
      <c r="D437" s="10"/>
      <c r="E437" s="10"/>
      <c r="F437" s="10"/>
      <c r="G437" s="12" t="str">
        <f aca="false">IF(D437="","",IF(OR(D437="WhatsApp",D437="Apagado"),"No","Sí"))</f>
        <v/>
      </c>
      <c r="H437" s="10"/>
      <c r="I437" s="20"/>
      <c r="J437" s="10"/>
      <c r="K437" s="1"/>
    </row>
    <row r="438" customFormat="false" ht="15" hidden="false" customHeight="false" outlineLevel="0" collapsed="false">
      <c r="A438" s="1"/>
      <c r="B438" s="15"/>
      <c r="C438" s="15"/>
      <c r="D438" s="15"/>
      <c r="E438" s="15"/>
      <c r="F438" s="15"/>
      <c r="G438" s="17" t="str">
        <f aca="false">IF(D438="","",IF(OR(D438="WhatsApp",D438="Apagado"),"No","Sí"))</f>
        <v/>
      </c>
      <c r="H438" s="15"/>
      <c r="I438" s="21"/>
      <c r="J438" s="15"/>
      <c r="K438" s="1"/>
    </row>
    <row r="439" customFormat="false" ht="15" hidden="false" customHeight="false" outlineLevel="0" collapsed="false">
      <c r="A439" s="1"/>
      <c r="B439" s="10"/>
      <c r="C439" s="10"/>
      <c r="D439" s="10"/>
      <c r="E439" s="10"/>
      <c r="F439" s="10"/>
      <c r="G439" s="12" t="str">
        <f aca="false">IF(D439="","",IF(OR(D439="WhatsApp",D439="Apagado"),"No","Sí"))</f>
        <v/>
      </c>
      <c r="H439" s="10"/>
      <c r="I439" s="20"/>
      <c r="J439" s="10"/>
      <c r="K439" s="1"/>
    </row>
    <row r="440" customFormat="false" ht="15" hidden="false" customHeight="false" outlineLevel="0" collapsed="false">
      <c r="A440" s="1"/>
      <c r="B440" s="15"/>
      <c r="C440" s="15"/>
      <c r="D440" s="15"/>
      <c r="E440" s="15"/>
      <c r="F440" s="15"/>
      <c r="G440" s="17" t="str">
        <f aca="false">IF(D440="","",IF(OR(D440="WhatsApp",D440="Apagado"),"No","Sí"))</f>
        <v/>
      </c>
      <c r="H440" s="15"/>
      <c r="I440" s="21"/>
      <c r="J440" s="15"/>
      <c r="K440" s="1"/>
    </row>
    <row r="441" customFormat="false" ht="15" hidden="false" customHeight="false" outlineLevel="0" collapsed="false">
      <c r="A441" s="1"/>
      <c r="B441" s="10"/>
      <c r="C441" s="10"/>
      <c r="D441" s="10"/>
      <c r="E441" s="10"/>
      <c r="F441" s="10"/>
      <c r="G441" s="12" t="str">
        <f aca="false">IF(D441="","",IF(OR(D441="WhatsApp",D441="Apagado"),"No","Sí"))</f>
        <v/>
      </c>
      <c r="H441" s="10"/>
      <c r="I441" s="20"/>
      <c r="J441" s="10"/>
      <c r="K441" s="1"/>
    </row>
    <row r="442" customFormat="false" ht="15" hidden="false" customHeight="false" outlineLevel="0" collapsed="false">
      <c r="A442" s="1"/>
      <c r="B442" s="15"/>
      <c r="C442" s="15"/>
      <c r="D442" s="15"/>
      <c r="E442" s="15"/>
      <c r="F442" s="15"/>
      <c r="G442" s="17" t="str">
        <f aca="false">IF(D442="","",IF(OR(D442="WhatsApp",D442="Apagado"),"No","Sí"))</f>
        <v/>
      </c>
      <c r="H442" s="15"/>
      <c r="I442" s="21"/>
      <c r="J442" s="15"/>
      <c r="K442" s="1"/>
    </row>
    <row r="443" customFormat="false" ht="15" hidden="false" customHeight="false" outlineLevel="0" collapsed="false">
      <c r="A443" s="1"/>
      <c r="B443" s="10"/>
      <c r="C443" s="10"/>
      <c r="D443" s="10"/>
      <c r="E443" s="10"/>
      <c r="F443" s="10"/>
      <c r="G443" s="12" t="str">
        <f aca="false">IF(D443="","",IF(OR(D443="WhatsApp",D443="Apagado"),"No","Sí"))</f>
        <v/>
      </c>
      <c r="H443" s="10"/>
      <c r="I443" s="20"/>
      <c r="J443" s="10"/>
      <c r="K443" s="1"/>
    </row>
    <row r="444" customFormat="false" ht="15" hidden="false" customHeight="false" outlineLevel="0" collapsed="false">
      <c r="A444" s="1"/>
      <c r="B444" s="15"/>
      <c r="C444" s="15"/>
      <c r="D444" s="15"/>
      <c r="E444" s="15"/>
      <c r="F444" s="15"/>
      <c r="G444" s="17" t="str">
        <f aca="false">IF(D444="","",IF(OR(D444="WhatsApp",D444="Apagado"),"No","Sí"))</f>
        <v/>
      </c>
      <c r="H444" s="15"/>
      <c r="I444" s="21"/>
      <c r="J444" s="15"/>
      <c r="K444" s="1"/>
    </row>
    <row r="445" customFormat="false" ht="15" hidden="false" customHeight="false" outlineLevel="0" collapsed="false">
      <c r="A445" s="1"/>
      <c r="B445" s="10"/>
      <c r="C445" s="10"/>
      <c r="D445" s="10"/>
      <c r="E445" s="10"/>
      <c r="F445" s="10"/>
      <c r="G445" s="12" t="str">
        <f aca="false">IF(D445="","",IF(OR(D445="WhatsApp",D445="Apagado"),"No","Sí"))</f>
        <v/>
      </c>
      <c r="H445" s="10"/>
      <c r="I445" s="20"/>
      <c r="J445" s="10"/>
      <c r="K445" s="1"/>
    </row>
    <row r="446" customFormat="false" ht="15" hidden="false" customHeight="false" outlineLevel="0" collapsed="false">
      <c r="A446" s="1"/>
      <c r="B446" s="15"/>
      <c r="C446" s="15"/>
      <c r="D446" s="15"/>
      <c r="E446" s="15"/>
      <c r="F446" s="15"/>
      <c r="G446" s="17" t="str">
        <f aca="false">IF(D446="","",IF(OR(D446="WhatsApp",D446="Apagado"),"No","Sí"))</f>
        <v/>
      </c>
      <c r="H446" s="15"/>
      <c r="I446" s="21"/>
      <c r="J446" s="15"/>
      <c r="K446" s="1"/>
    </row>
    <row r="447" customFormat="false" ht="15" hidden="false" customHeight="false" outlineLevel="0" collapsed="false">
      <c r="A447" s="1"/>
      <c r="B447" s="10"/>
      <c r="C447" s="10"/>
      <c r="D447" s="10"/>
      <c r="E447" s="10"/>
      <c r="F447" s="10"/>
      <c r="G447" s="12" t="str">
        <f aca="false">IF(D447="","",IF(OR(D447="WhatsApp",D447="Apagado"),"No","Sí"))</f>
        <v/>
      </c>
      <c r="H447" s="10"/>
      <c r="I447" s="20"/>
      <c r="J447" s="10"/>
      <c r="K447" s="1"/>
    </row>
    <row r="448" customFormat="false" ht="15" hidden="false" customHeight="false" outlineLevel="0" collapsed="false">
      <c r="A448" s="1"/>
      <c r="B448" s="15"/>
      <c r="C448" s="15"/>
      <c r="D448" s="15"/>
      <c r="E448" s="15"/>
      <c r="F448" s="15"/>
      <c r="G448" s="17" t="str">
        <f aca="false">IF(D448="","",IF(OR(D448="WhatsApp",D448="Apagado"),"No","Sí"))</f>
        <v/>
      </c>
      <c r="H448" s="15"/>
      <c r="I448" s="21"/>
      <c r="J448" s="15"/>
      <c r="K448" s="1"/>
    </row>
    <row r="449" customFormat="false" ht="15" hidden="false" customHeight="false" outlineLevel="0" collapsed="false">
      <c r="A449" s="1"/>
      <c r="B449" s="10"/>
      <c r="C449" s="10"/>
      <c r="D449" s="10"/>
      <c r="E449" s="10"/>
      <c r="F449" s="10"/>
      <c r="G449" s="12" t="str">
        <f aca="false">IF(D449="","",IF(OR(D449="WhatsApp",D449="Apagado"),"No","Sí"))</f>
        <v/>
      </c>
      <c r="H449" s="10"/>
      <c r="I449" s="20"/>
      <c r="J449" s="10"/>
      <c r="K449" s="1"/>
    </row>
    <row r="450" customFormat="false" ht="15" hidden="false" customHeight="false" outlineLevel="0" collapsed="false">
      <c r="A450" s="1"/>
      <c r="B450" s="15"/>
      <c r="C450" s="15"/>
      <c r="D450" s="15"/>
      <c r="E450" s="15"/>
      <c r="F450" s="15"/>
      <c r="G450" s="17" t="str">
        <f aca="false">IF(D450="","",IF(OR(D450="WhatsApp",D450="Apagado"),"No","Sí"))</f>
        <v/>
      </c>
      <c r="H450" s="15"/>
      <c r="I450" s="21"/>
      <c r="J450" s="15"/>
      <c r="K450" s="1"/>
    </row>
    <row r="451" customFormat="false" ht="15" hidden="false" customHeight="false" outlineLevel="0" collapsed="false">
      <c r="A451" s="1"/>
      <c r="B451" s="10"/>
      <c r="C451" s="10"/>
      <c r="D451" s="10"/>
      <c r="E451" s="10"/>
      <c r="F451" s="10"/>
      <c r="G451" s="12" t="str">
        <f aca="false">IF(D451="","",IF(OR(D451="WhatsApp",D451="Apagado"),"No","Sí"))</f>
        <v/>
      </c>
      <c r="H451" s="10"/>
      <c r="I451" s="20"/>
      <c r="J451" s="10"/>
      <c r="K451" s="1"/>
    </row>
    <row r="452" customFormat="false" ht="15" hidden="false" customHeight="false" outlineLevel="0" collapsed="false">
      <c r="A452" s="1"/>
      <c r="B452" s="15"/>
      <c r="C452" s="15"/>
      <c r="D452" s="15"/>
      <c r="E452" s="15"/>
      <c r="F452" s="15"/>
      <c r="G452" s="17" t="str">
        <f aca="false">IF(D452="","",IF(OR(D452="WhatsApp",D452="Apagado"),"No","Sí"))</f>
        <v/>
      </c>
      <c r="H452" s="15"/>
      <c r="I452" s="21"/>
      <c r="J452" s="15"/>
      <c r="K452" s="1"/>
    </row>
    <row r="453" customFormat="false" ht="15" hidden="false" customHeight="false" outlineLevel="0" collapsed="false">
      <c r="A453" s="1"/>
      <c r="B453" s="10"/>
      <c r="C453" s="10"/>
      <c r="D453" s="10"/>
      <c r="E453" s="10"/>
      <c r="F453" s="10"/>
      <c r="G453" s="12" t="str">
        <f aca="false">IF(D453="","",IF(OR(D453="WhatsApp",D453="Apagado"),"No","Sí"))</f>
        <v/>
      </c>
      <c r="H453" s="10"/>
      <c r="I453" s="20"/>
      <c r="J453" s="10"/>
      <c r="K453" s="1"/>
    </row>
    <row r="454" customFormat="false" ht="15" hidden="false" customHeight="false" outlineLevel="0" collapsed="false">
      <c r="A454" s="1"/>
      <c r="B454" s="15"/>
      <c r="C454" s="15"/>
      <c r="D454" s="15"/>
      <c r="E454" s="15"/>
      <c r="F454" s="15"/>
      <c r="G454" s="17" t="str">
        <f aca="false">IF(D454="","",IF(OR(D454="WhatsApp",D454="Apagado"),"No","Sí"))</f>
        <v/>
      </c>
      <c r="H454" s="15"/>
      <c r="I454" s="21"/>
      <c r="J454" s="15"/>
      <c r="K454" s="1"/>
    </row>
    <row r="455" customFormat="false" ht="15" hidden="false" customHeight="false" outlineLevel="0" collapsed="false">
      <c r="A455" s="1"/>
      <c r="B455" s="10"/>
      <c r="C455" s="10"/>
      <c r="D455" s="10"/>
      <c r="E455" s="10"/>
      <c r="F455" s="10"/>
      <c r="G455" s="12" t="str">
        <f aca="false">IF(D455="","",IF(OR(D455="WhatsApp",D455="Apagado"),"No","Sí"))</f>
        <v/>
      </c>
      <c r="H455" s="10"/>
      <c r="I455" s="20"/>
      <c r="J455" s="10"/>
      <c r="K455" s="1"/>
    </row>
    <row r="456" customFormat="false" ht="15" hidden="false" customHeight="false" outlineLevel="0" collapsed="false">
      <c r="A456" s="1"/>
      <c r="B456" s="15"/>
      <c r="C456" s="15"/>
      <c r="D456" s="15"/>
      <c r="E456" s="15"/>
      <c r="F456" s="15"/>
      <c r="G456" s="17" t="str">
        <f aca="false">IF(D456="","",IF(OR(D456="WhatsApp",D456="Apagado"),"No","Sí"))</f>
        <v/>
      </c>
      <c r="H456" s="15"/>
      <c r="I456" s="21"/>
      <c r="J456" s="15"/>
      <c r="K456" s="1"/>
    </row>
    <row r="457" customFormat="false" ht="15" hidden="false" customHeight="false" outlineLevel="0" collapsed="false">
      <c r="A457" s="1"/>
      <c r="B457" s="10"/>
      <c r="C457" s="10"/>
      <c r="D457" s="10"/>
      <c r="E457" s="10"/>
      <c r="F457" s="10"/>
      <c r="G457" s="12" t="str">
        <f aca="false">IF(D457="","",IF(OR(D457="WhatsApp",D457="Apagado"),"No","Sí"))</f>
        <v/>
      </c>
      <c r="H457" s="10"/>
      <c r="I457" s="20"/>
      <c r="J457" s="10"/>
      <c r="K457" s="1"/>
    </row>
    <row r="458" customFormat="false" ht="15" hidden="false" customHeight="false" outlineLevel="0" collapsed="false">
      <c r="A458" s="1"/>
      <c r="B458" s="15"/>
      <c r="C458" s="15"/>
      <c r="D458" s="15"/>
      <c r="E458" s="15"/>
      <c r="F458" s="15"/>
      <c r="G458" s="17" t="str">
        <f aca="false">IF(D458="","",IF(OR(D458="WhatsApp",D458="Apagado"),"No","Sí"))</f>
        <v/>
      </c>
      <c r="H458" s="15"/>
      <c r="I458" s="21"/>
      <c r="J458" s="15"/>
      <c r="K458" s="1"/>
    </row>
    <row r="459" customFormat="false" ht="15" hidden="false" customHeight="false" outlineLevel="0" collapsed="false">
      <c r="A459" s="1"/>
      <c r="B459" s="10"/>
      <c r="C459" s="10"/>
      <c r="D459" s="10"/>
      <c r="E459" s="10"/>
      <c r="F459" s="10"/>
      <c r="G459" s="12" t="str">
        <f aca="false">IF(D459="","",IF(OR(D459="WhatsApp",D459="Apagado"),"No","Sí"))</f>
        <v/>
      </c>
      <c r="H459" s="10"/>
      <c r="I459" s="20"/>
      <c r="J459" s="10"/>
      <c r="K459" s="1"/>
    </row>
    <row r="460" customFormat="false" ht="15" hidden="false" customHeight="false" outlineLevel="0" collapsed="false">
      <c r="A460" s="1"/>
      <c r="B460" s="15"/>
      <c r="C460" s="15"/>
      <c r="D460" s="15"/>
      <c r="E460" s="15"/>
      <c r="F460" s="15"/>
      <c r="G460" s="17" t="str">
        <f aca="false">IF(D460="","",IF(OR(D460="WhatsApp",D460="Apagado"),"No","Sí"))</f>
        <v/>
      </c>
      <c r="H460" s="15"/>
      <c r="I460" s="21"/>
      <c r="J460" s="15"/>
      <c r="K460" s="1"/>
    </row>
    <row r="461" customFormat="false" ht="15" hidden="false" customHeight="false" outlineLevel="0" collapsed="false">
      <c r="A461" s="1"/>
      <c r="B461" s="10"/>
      <c r="C461" s="10"/>
      <c r="D461" s="10"/>
      <c r="E461" s="10"/>
      <c r="F461" s="10"/>
      <c r="G461" s="12" t="str">
        <f aca="false">IF(D461="","",IF(OR(D461="WhatsApp",D461="Apagado"),"No","Sí"))</f>
        <v/>
      </c>
      <c r="H461" s="10"/>
      <c r="I461" s="20"/>
      <c r="J461" s="10"/>
      <c r="K461" s="1"/>
    </row>
    <row r="462" customFormat="false" ht="15" hidden="false" customHeight="false" outlineLevel="0" collapsed="false">
      <c r="A462" s="1"/>
      <c r="B462" s="15"/>
      <c r="C462" s="15"/>
      <c r="D462" s="15"/>
      <c r="E462" s="15"/>
      <c r="F462" s="15"/>
      <c r="G462" s="17" t="str">
        <f aca="false">IF(D462="","",IF(OR(D462="WhatsApp",D462="Apagado"),"No","Sí"))</f>
        <v/>
      </c>
      <c r="H462" s="15"/>
      <c r="I462" s="21"/>
      <c r="J462" s="15"/>
      <c r="K462" s="1"/>
    </row>
    <row r="463" customFormat="false" ht="15" hidden="false" customHeight="false" outlineLevel="0" collapsed="false">
      <c r="A463" s="1"/>
      <c r="B463" s="10"/>
      <c r="C463" s="10"/>
      <c r="D463" s="10"/>
      <c r="E463" s="10"/>
      <c r="F463" s="10"/>
      <c r="G463" s="12" t="str">
        <f aca="false">IF(D463="","",IF(OR(D463="WhatsApp",D463="Apagado"),"No","Sí"))</f>
        <v/>
      </c>
      <c r="H463" s="10"/>
      <c r="I463" s="20"/>
      <c r="J463" s="10"/>
      <c r="K463" s="1"/>
    </row>
    <row r="464" customFormat="false" ht="15" hidden="false" customHeight="false" outlineLevel="0" collapsed="false">
      <c r="A464" s="1"/>
      <c r="B464" s="15"/>
      <c r="C464" s="15"/>
      <c r="D464" s="15"/>
      <c r="E464" s="15"/>
      <c r="F464" s="15"/>
      <c r="G464" s="17" t="str">
        <f aca="false">IF(D464="","",IF(OR(D464="WhatsApp",D464="Apagado"),"No","Sí"))</f>
        <v/>
      </c>
      <c r="H464" s="15"/>
      <c r="I464" s="21"/>
      <c r="J464" s="15"/>
      <c r="K464" s="1"/>
    </row>
    <row r="465" customFormat="false" ht="15" hidden="false" customHeight="false" outlineLevel="0" collapsed="false">
      <c r="A465" s="1"/>
      <c r="B465" s="10"/>
      <c r="C465" s="10"/>
      <c r="D465" s="10"/>
      <c r="E465" s="10"/>
      <c r="F465" s="10"/>
      <c r="G465" s="12" t="str">
        <f aca="false">IF(D465="","",IF(OR(D465="WhatsApp",D465="Apagado"),"No","Sí"))</f>
        <v/>
      </c>
      <c r="H465" s="10"/>
      <c r="I465" s="20"/>
      <c r="J465" s="10"/>
      <c r="K465" s="1"/>
    </row>
    <row r="466" customFormat="false" ht="15" hidden="false" customHeight="false" outlineLevel="0" collapsed="false">
      <c r="A466" s="1"/>
      <c r="B466" s="15"/>
      <c r="C466" s="15"/>
      <c r="D466" s="15"/>
      <c r="E466" s="15"/>
      <c r="F466" s="15"/>
      <c r="G466" s="17" t="str">
        <f aca="false">IF(D466="","",IF(OR(D466="WhatsApp",D466="Apagado"),"No","Sí"))</f>
        <v/>
      </c>
      <c r="H466" s="15"/>
      <c r="I466" s="21"/>
      <c r="J466" s="15"/>
      <c r="K466" s="1"/>
    </row>
    <row r="467" customFormat="false" ht="15" hidden="false" customHeight="false" outlineLevel="0" collapsed="false">
      <c r="A467" s="1"/>
      <c r="B467" s="10"/>
      <c r="C467" s="10"/>
      <c r="D467" s="10"/>
      <c r="E467" s="10"/>
      <c r="F467" s="10"/>
      <c r="G467" s="12" t="str">
        <f aca="false">IF(D467="","",IF(OR(D467="WhatsApp",D467="Apagado"),"No","Sí"))</f>
        <v/>
      </c>
      <c r="H467" s="10"/>
      <c r="I467" s="20"/>
      <c r="J467" s="10"/>
      <c r="K467" s="1"/>
    </row>
    <row r="468" customFormat="false" ht="15" hidden="false" customHeight="false" outlineLevel="0" collapsed="false">
      <c r="A468" s="1"/>
      <c r="B468" s="15"/>
      <c r="C468" s="15"/>
      <c r="D468" s="15"/>
      <c r="E468" s="15"/>
      <c r="F468" s="15"/>
      <c r="G468" s="17" t="str">
        <f aca="false">IF(D468="","",IF(OR(D468="WhatsApp",D468="Apagado"),"No","Sí"))</f>
        <v/>
      </c>
      <c r="H468" s="15"/>
      <c r="I468" s="21"/>
      <c r="J468" s="15"/>
      <c r="K468" s="1"/>
    </row>
    <row r="469" customFormat="false" ht="15" hidden="false" customHeight="false" outlineLevel="0" collapsed="false">
      <c r="A469" s="1"/>
      <c r="B469" s="10"/>
      <c r="C469" s="10"/>
      <c r="D469" s="10"/>
      <c r="E469" s="10"/>
      <c r="F469" s="10"/>
      <c r="G469" s="12" t="str">
        <f aca="false">IF(D469="","",IF(OR(D469="WhatsApp",D469="Apagado"),"No","Sí"))</f>
        <v/>
      </c>
      <c r="H469" s="10"/>
      <c r="I469" s="20"/>
      <c r="J469" s="10"/>
      <c r="K469" s="1"/>
    </row>
    <row r="470" customFormat="false" ht="15" hidden="false" customHeight="false" outlineLevel="0" collapsed="false">
      <c r="A470" s="1"/>
      <c r="B470" s="15"/>
      <c r="C470" s="15"/>
      <c r="D470" s="15"/>
      <c r="E470" s="15"/>
      <c r="F470" s="15"/>
      <c r="G470" s="17" t="str">
        <f aca="false">IF(D470="","",IF(OR(D470="WhatsApp",D470="Apagado"),"No","Sí"))</f>
        <v/>
      </c>
      <c r="H470" s="15"/>
      <c r="I470" s="21"/>
      <c r="J470" s="15"/>
      <c r="K470" s="1"/>
    </row>
    <row r="471" customFormat="false" ht="15" hidden="false" customHeight="false" outlineLevel="0" collapsed="false">
      <c r="A471" s="1"/>
      <c r="B471" s="10"/>
      <c r="C471" s="10"/>
      <c r="D471" s="10"/>
      <c r="E471" s="10"/>
      <c r="F471" s="10"/>
      <c r="G471" s="12" t="str">
        <f aca="false">IF(D471="","",IF(OR(D471="WhatsApp",D471="Apagado"),"No","Sí"))</f>
        <v/>
      </c>
      <c r="H471" s="10"/>
      <c r="I471" s="20"/>
      <c r="J471" s="10"/>
      <c r="K471" s="1"/>
    </row>
    <row r="472" customFormat="false" ht="15" hidden="false" customHeight="false" outlineLevel="0" collapsed="false">
      <c r="A472" s="1"/>
      <c r="B472" s="15"/>
      <c r="C472" s="15"/>
      <c r="D472" s="15"/>
      <c r="E472" s="15"/>
      <c r="F472" s="15"/>
      <c r="G472" s="17" t="str">
        <f aca="false">IF(D472="","",IF(OR(D472="WhatsApp",D472="Apagado"),"No","Sí"))</f>
        <v/>
      </c>
      <c r="H472" s="15"/>
      <c r="I472" s="21"/>
      <c r="J472" s="15"/>
      <c r="K472" s="1"/>
    </row>
    <row r="473" customFormat="false" ht="15" hidden="false" customHeight="false" outlineLevel="0" collapsed="false">
      <c r="A473" s="1"/>
      <c r="B473" s="10"/>
      <c r="C473" s="10"/>
      <c r="D473" s="10"/>
      <c r="E473" s="10"/>
      <c r="F473" s="10"/>
      <c r="G473" s="12" t="str">
        <f aca="false">IF(D473="","",IF(OR(D473="WhatsApp",D473="Apagado"),"No","Sí"))</f>
        <v/>
      </c>
      <c r="H473" s="10"/>
      <c r="I473" s="20"/>
      <c r="J473" s="10"/>
      <c r="K473" s="1"/>
    </row>
    <row r="474" customFormat="false" ht="15" hidden="false" customHeight="false" outlineLevel="0" collapsed="false">
      <c r="A474" s="1"/>
      <c r="B474" s="15"/>
      <c r="C474" s="15"/>
      <c r="D474" s="15"/>
      <c r="E474" s="15"/>
      <c r="F474" s="15"/>
      <c r="G474" s="17" t="str">
        <f aca="false">IF(D474="","",IF(OR(D474="WhatsApp",D474="Apagado"),"No","Sí"))</f>
        <v/>
      </c>
      <c r="H474" s="15"/>
      <c r="I474" s="21"/>
      <c r="J474" s="15"/>
      <c r="K474" s="1"/>
    </row>
    <row r="475" customFormat="false" ht="15" hidden="false" customHeight="false" outlineLevel="0" collapsed="false">
      <c r="A475" s="1"/>
      <c r="B475" s="10"/>
      <c r="C475" s="10"/>
      <c r="D475" s="10"/>
      <c r="E475" s="10"/>
      <c r="F475" s="10"/>
      <c r="G475" s="12" t="str">
        <f aca="false">IF(D475="","",IF(OR(D475="WhatsApp",D475="Apagado"),"No","Sí"))</f>
        <v/>
      </c>
      <c r="H475" s="10"/>
      <c r="I475" s="20"/>
      <c r="J475" s="10"/>
      <c r="K475" s="1"/>
    </row>
    <row r="476" customFormat="false" ht="15" hidden="false" customHeight="false" outlineLevel="0" collapsed="false">
      <c r="A476" s="1"/>
      <c r="B476" s="15"/>
      <c r="C476" s="15"/>
      <c r="D476" s="15"/>
      <c r="E476" s="15"/>
      <c r="F476" s="15"/>
      <c r="G476" s="17" t="str">
        <f aca="false">IF(D476="","",IF(OR(D476="WhatsApp",D476="Apagado"),"No","Sí"))</f>
        <v/>
      </c>
      <c r="H476" s="15"/>
      <c r="I476" s="21"/>
      <c r="J476" s="15"/>
      <c r="K476" s="1"/>
    </row>
    <row r="477" customFormat="false" ht="15" hidden="false" customHeight="false" outlineLevel="0" collapsed="false">
      <c r="A477" s="1"/>
      <c r="B477" s="10"/>
      <c r="C477" s="10"/>
      <c r="D477" s="10"/>
      <c r="E477" s="10"/>
      <c r="F477" s="10"/>
      <c r="G477" s="12" t="str">
        <f aca="false">IF(D477="","",IF(OR(D477="WhatsApp",D477="Apagado"),"No","Sí"))</f>
        <v/>
      </c>
      <c r="H477" s="10"/>
      <c r="I477" s="20"/>
      <c r="J477" s="10"/>
      <c r="K477" s="1"/>
    </row>
    <row r="478" customFormat="false" ht="15" hidden="false" customHeight="false" outlineLevel="0" collapsed="false">
      <c r="A478" s="1"/>
      <c r="B478" s="15"/>
      <c r="C478" s="15"/>
      <c r="D478" s="15"/>
      <c r="E478" s="15"/>
      <c r="F478" s="15"/>
      <c r="G478" s="17" t="str">
        <f aca="false">IF(D478="","",IF(OR(D478="WhatsApp",D478="Apagado"),"No","Sí"))</f>
        <v/>
      </c>
      <c r="H478" s="15"/>
      <c r="I478" s="21"/>
      <c r="J478" s="15"/>
      <c r="K478" s="1"/>
    </row>
    <row r="479" customFormat="false" ht="15" hidden="false" customHeight="false" outlineLevel="0" collapsed="false">
      <c r="A479" s="1"/>
      <c r="B479" s="10"/>
      <c r="C479" s="10"/>
      <c r="D479" s="10"/>
      <c r="E479" s="10"/>
      <c r="F479" s="10"/>
      <c r="G479" s="12" t="str">
        <f aca="false">IF(D479="","",IF(OR(D479="WhatsApp",D479="Apagado"),"No","Sí"))</f>
        <v/>
      </c>
      <c r="H479" s="10"/>
      <c r="I479" s="20"/>
      <c r="J479" s="10"/>
      <c r="K479" s="1"/>
    </row>
    <row r="480" customFormat="false" ht="15" hidden="false" customHeight="false" outlineLevel="0" collapsed="false">
      <c r="A480" s="1"/>
      <c r="B480" s="15"/>
      <c r="C480" s="15"/>
      <c r="D480" s="15"/>
      <c r="E480" s="15"/>
      <c r="F480" s="15"/>
      <c r="G480" s="17" t="str">
        <f aca="false">IF(D480="","",IF(OR(D480="WhatsApp",D480="Apagado"),"No","Sí"))</f>
        <v/>
      </c>
      <c r="H480" s="15"/>
      <c r="I480" s="21"/>
      <c r="J480" s="15"/>
      <c r="K480" s="1"/>
    </row>
    <row r="481" customFormat="false" ht="15" hidden="false" customHeight="false" outlineLevel="0" collapsed="false">
      <c r="A481" s="1"/>
      <c r="B481" s="10"/>
      <c r="C481" s="10"/>
      <c r="D481" s="10"/>
      <c r="E481" s="10"/>
      <c r="F481" s="10"/>
      <c r="G481" s="12" t="str">
        <f aca="false">IF(D481="","",IF(OR(D481="WhatsApp",D481="Apagado"),"No","Sí"))</f>
        <v/>
      </c>
      <c r="H481" s="10"/>
      <c r="I481" s="20"/>
      <c r="J481" s="10"/>
      <c r="K481" s="1"/>
    </row>
    <row r="482" customFormat="false" ht="15" hidden="false" customHeight="false" outlineLevel="0" collapsed="false">
      <c r="A482" s="1"/>
      <c r="B482" s="15"/>
      <c r="C482" s="15"/>
      <c r="D482" s="15"/>
      <c r="E482" s="15"/>
      <c r="F482" s="15"/>
      <c r="G482" s="17" t="str">
        <f aca="false">IF(D482="","",IF(OR(D482="WhatsApp",D482="Apagado"),"No","Sí"))</f>
        <v/>
      </c>
      <c r="H482" s="15"/>
      <c r="I482" s="21"/>
      <c r="J482" s="15"/>
      <c r="K482" s="1"/>
    </row>
    <row r="483" customFormat="false" ht="15" hidden="false" customHeight="false" outlineLevel="0" collapsed="false">
      <c r="A483" s="1"/>
      <c r="B483" s="10"/>
      <c r="C483" s="10"/>
      <c r="D483" s="10"/>
      <c r="E483" s="10"/>
      <c r="F483" s="10"/>
      <c r="G483" s="12" t="str">
        <f aca="false">IF(D483="","",IF(OR(D483="WhatsApp",D483="Apagado"),"No","Sí"))</f>
        <v/>
      </c>
      <c r="H483" s="10"/>
      <c r="I483" s="20"/>
      <c r="J483" s="10"/>
      <c r="K483" s="1"/>
    </row>
    <row r="484" customFormat="false" ht="15" hidden="false" customHeight="false" outlineLevel="0" collapsed="false">
      <c r="A484" s="1"/>
      <c r="B484" s="15"/>
      <c r="C484" s="15"/>
      <c r="D484" s="15"/>
      <c r="E484" s="15"/>
      <c r="F484" s="15"/>
      <c r="G484" s="17" t="str">
        <f aca="false">IF(D484="","",IF(OR(D484="WhatsApp",D484="Apagado"),"No","Sí"))</f>
        <v/>
      </c>
      <c r="H484" s="15"/>
      <c r="I484" s="21"/>
      <c r="J484" s="15"/>
      <c r="K484" s="1"/>
    </row>
    <row r="485" customFormat="false" ht="15" hidden="false" customHeight="false" outlineLevel="0" collapsed="false">
      <c r="A485" s="1"/>
      <c r="B485" s="10"/>
      <c r="C485" s="10"/>
      <c r="D485" s="10"/>
      <c r="E485" s="10"/>
      <c r="F485" s="10"/>
      <c r="G485" s="12" t="str">
        <f aca="false">IF(D485="","",IF(OR(D485="WhatsApp",D485="Apagado"),"No","Sí"))</f>
        <v/>
      </c>
      <c r="H485" s="10"/>
      <c r="I485" s="20"/>
      <c r="J485" s="10"/>
      <c r="K485" s="1"/>
    </row>
    <row r="486" customFormat="false" ht="15" hidden="false" customHeight="false" outlineLevel="0" collapsed="false">
      <c r="A486" s="1"/>
      <c r="B486" s="15"/>
      <c r="C486" s="15"/>
      <c r="D486" s="15"/>
      <c r="E486" s="15"/>
      <c r="F486" s="15"/>
      <c r="G486" s="17" t="str">
        <f aca="false">IF(D486="","",IF(OR(D486="WhatsApp",D486="Apagado"),"No","Sí"))</f>
        <v/>
      </c>
      <c r="H486" s="15"/>
      <c r="I486" s="21"/>
      <c r="J486" s="15"/>
      <c r="K486" s="1"/>
    </row>
    <row r="487" customFormat="false" ht="15" hidden="false" customHeight="false" outlineLevel="0" collapsed="false">
      <c r="A487" s="1"/>
      <c r="B487" s="10"/>
      <c r="C487" s="10"/>
      <c r="D487" s="10"/>
      <c r="E487" s="10"/>
      <c r="F487" s="10"/>
      <c r="G487" s="12" t="str">
        <f aca="false">IF(D487="","",IF(OR(D487="WhatsApp",D487="Apagado"),"No","Sí"))</f>
        <v/>
      </c>
      <c r="H487" s="10"/>
      <c r="I487" s="20"/>
      <c r="J487" s="10"/>
      <c r="K487" s="1"/>
    </row>
    <row r="488" customFormat="false" ht="15" hidden="false" customHeight="false" outlineLevel="0" collapsed="false">
      <c r="A488" s="1"/>
      <c r="B488" s="15"/>
      <c r="C488" s="15"/>
      <c r="D488" s="15"/>
      <c r="E488" s="15"/>
      <c r="F488" s="15"/>
      <c r="G488" s="17" t="str">
        <f aca="false">IF(D488="","",IF(OR(D488="WhatsApp",D488="Apagado"),"No","Sí"))</f>
        <v/>
      </c>
      <c r="H488" s="15"/>
      <c r="I488" s="21"/>
      <c r="J488" s="15"/>
      <c r="K488" s="1"/>
    </row>
    <row r="489" customFormat="false" ht="15" hidden="false" customHeight="false" outlineLevel="0" collapsed="false">
      <c r="A489" s="1"/>
      <c r="B489" s="10"/>
      <c r="C489" s="10"/>
      <c r="D489" s="10"/>
      <c r="E489" s="10"/>
      <c r="F489" s="10"/>
      <c r="G489" s="12" t="str">
        <f aca="false">IF(D489="","",IF(OR(D489="WhatsApp",D489="Apagado"),"No","Sí"))</f>
        <v/>
      </c>
      <c r="H489" s="10"/>
      <c r="I489" s="20"/>
      <c r="J489" s="10"/>
      <c r="K489" s="1"/>
    </row>
    <row r="490" customFormat="false" ht="15" hidden="false" customHeight="false" outlineLevel="0" collapsed="false">
      <c r="A490" s="1"/>
      <c r="B490" s="15"/>
      <c r="C490" s="15"/>
      <c r="D490" s="15"/>
      <c r="E490" s="15"/>
      <c r="F490" s="15"/>
      <c r="G490" s="17" t="str">
        <f aca="false">IF(D490="","",IF(OR(D490="WhatsApp",D490="Apagado"),"No","Sí"))</f>
        <v/>
      </c>
      <c r="H490" s="15"/>
      <c r="I490" s="21"/>
      <c r="J490" s="15"/>
      <c r="K490" s="1"/>
    </row>
    <row r="491" customFormat="false" ht="15" hidden="false" customHeight="false" outlineLevel="0" collapsed="false">
      <c r="A491" s="1"/>
      <c r="B491" s="10"/>
      <c r="C491" s="10"/>
      <c r="D491" s="10"/>
      <c r="E491" s="10"/>
      <c r="F491" s="10"/>
      <c r="G491" s="12" t="str">
        <f aca="false">IF(D491="","",IF(OR(D491="WhatsApp",D491="Apagado"),"No","Sí"))</f>
        <v/>
      </c>
      <c r="H491" s="10"/>
      <c r="I491" s="20"/>
      <c r="J491" s="10"/>
      <c r="K491" s="1"/>
    </row>
    <row r="492" customFormat="false" ht="15" hidden="false" customHeight="false" outlineLevel="0" collapsed="false">
      <c r="A492" s="1"/>
      <c r="B492" s="15"/>
      <c r="C492" s="15"/>
      <c r="D492" s="15"/>
      <c r="E492" s="15"/>
      <c r="F492" s="15"/>
      <c r="G492" s="17" t="str">
        <f aca="false">IF(D492="","",IF(OR(D492="WhatsApp",D492="Apagado"),"No","Sí"))</f>
        <v/>
      </c>
      <c r="H492" s="15"/>
      <c r="I492" s="21"/>
      <c r="J492" s="15"/>
      <c r="K492" s="1"/>
    </row>
    <row r="493" customFormat="false" ht="15" hidden="false" customHeight="false" outlineLevel="0" collapsed="false">
      <c r="A493" s="1"/>
      <c r="B493" s="10"/>
      <c r="C493" s="10"/>
      <c r="D493" s="10"/>
      <c r="E493" s="10"/>
      <c r="F493" s="10"/>
      <c r="G493" s="12" t="str">
        <f aca="false">IF(D493="","",IF(OR(D493="WhatsApp",D493="Apagado"),"No","Sí"))</f>
        <v/>
      </c>
      <c r="H493" s="10"/>
      <c r="I493" s="20"/>
      <c r="J493" s="10"/>
      <c r="K493" s="1"/>
    </row>
    <row r="494" customFormat="false" ht="15" hidden="false" customHeight="false" outlineLevel="0" collapsed="false">
      <c r="A494" s="1"/>
      <c r="B494" s="15"/>
      <c r="C494" s="15"/>
      <c r="D494" s="15"/>
      <c r="E494" s="15"/>
      <c r="F494" s="15"/>
      <c r="G494" s="17" t="str">
        <f aca="false">IF(D494="","",IF(OR(D494="WhatsApp",D494="Apagado"),"No","Sí"))</f>
        <v/>
      </c>
      <c r="H494" s="15"/>
      <c r="I494" s="21"/>
      <c r="J494" s="15"/>
      <c r="K494" s="1"/>
    </row>
    <row r="495" customFormat="false" ht="15" hidden="false" customHeight="false" outlineLevel="0" collapsed="false">
      <c r="A495" s="1"/>
      <c r="B495" s="10"/>
      <c r="C495" s="10"/>
      <c r="D495" s="10"/>
      <c r="E495" s="10"/>
      <c r="F495" s="10"/>
      <c r="G495" s="12" t="str">
        <f aca="false">IF(D495="","",IF(OR(D495="WhatsApp",D495="Apagado"),"No","Sí"))</f>
        <v/>
      </c>
      <c r="H495" s="10"/>
      <c r="I495" s="20"/>
      <c r="J495" s="10"/>
      <c r="K495" s="1"/>
    </row>
    <row r="496" customFormat="false" ht="15" hidden="false" customHeight="false" outlineLevel="0" collapsed="false">
      <c r="A496" s="1"/>
      <c r="B496" s="15"/>
      <c r="C496" s="15"/>
      <c r="D496" s="15"/>
      <c r="E496" s="15"/>
      <c r="F496" s="15"/>
      <c r="G496" s="17" t="str">
        <f aca="false">IF(D496="","",IF(OR(D496="WhatsApp",D496="Apagado"),"No","Sí"))</f>
        <v/>
      </c>
      <c r="H496" s="15"/>
      <c r="I496" s="21"/>
      <c r="J496" s="15"/>
      <c r="K496" s="1"/>
    </row>
    <row r="497" customFormat="false" ht="15" hidden="false" customHeight="false" outlineLevel="0" collapsed="false">
      <c r="A497" s="1"/>
      <c r="B497" s="10"/>
      <c r="C497" s="10"/>
      <c r="D497" s="10"/>
      <c r="E497" s="10"/>
      <c r="F497" s="10"/>
      <c r="G497" s="12" t="str">
        <f aca="false">IF(D497="","",IF(OR(D497="WhatsApp",D497="Apagado"),"No","Sí"))</f>
        <v/>
      </c>
      <c r="H497" s="10"/>
      <c r="I497" s="20"/>
      <c r="J497" s="10"/>
      <c r="K497" s="1"/>
    </row>
    <row r="498" customFormat="false" ht="15" hidden="false" customHeight="false" outlineLevel="0" collapsed="false">
      <c r="A498" s="1"/>
      <c r="B498" s="15"/>
      <c r="C498" s="15"/>
      <c r="D498" s="15"/>
      <c r="E498" s="15"/>
      <c r="F498" s="15"/>
      <c r="G498" s="17" t="str">
        <f aca="false">IF(D498="","",IF(OR(D498="WhatsApp",D498="Apagado"),"No","Sí"))</f>
        <v/>
      </c>
      <c r="H498" s="15"/>
      <c r="I498" s="21"/>
      <c r="J498" s="15"/>
      <c r="K498" s="1"/>
    </row>
    <row r="499" customFormat="false" ht="15" hidden="false" customHeight="false" outlineLevel="0" collapsed="false">
      <c r="A499" s="1"/>
      <c r="B499" s="10"/>
      <c r="C499" s="10"/>
      <c r="D499" s="10"/>
      <c r="E499" s="10"/>
      <c r="F499" s="10"/>
      <c r="G499" s="12" t="str">
        <f aca="false">IF(D499="","",IF(OR(D499="WhatsApp",D499="Apagado"),"No","Sí"))</f>
        <v/>
      </c>
      <c r="H499" s="10"/>
      <c r="I499" s="20"/>
      <c r="J499" s="10"/>
      <c r="K499" s="1"/>
    </row>
    <row r="500" customFormat="false" ht="15" hidden="false" customHeight="false" outlineLevel="0" collapsed="false">
      <c r="A500" s="1"/>
      <c r="B500" s="15"/>
      <c r="C500" s="15"/>
      <c r="D500" s="15"/>
      <c r="E500" s="15"/>
      <c r="F500" s="15"/>
      <c r="G500" s="17" t="str">
        <f aca="false">IF(D500="","",IF(OR(D500="WhatsApp",D500="Apagado"),"No","Sí"))</f>
        <v/>
      </c>
      <c r="H500" s="15"/>
      <c r="I500" s="21"/>
      <c r="J500" s="15"/>
      <c r="K500" s="1"/>
    </row>
    <row r="501" customFormat="false" ht="15" hidden="false" customHeight="false" outlineLevel="0" collapsed="false">
      <c r="A501" s="1"/>
      <c r="B501" s="10"/>
      <c r="C501" s="10"/>
      <c r="D501" s="10"/>
      <c r="E501" s="10"/>
      <c r="F501" s="10"/>
      <c r="G501" s="12" t="str">
        <f aca="false">IF(D501="","",IF(OR(D501="WhatsApp",D501="Apagado"),"No","Sí"))</f>
        <v/>
      </c>
      <c r="H501" s="10"/>
      <c r="I501" s="20"/>
      <c r="J501" s="10"/>
      <c r="K501" s="1"/>
    </row>
    <row r="502" customFormat="false" ht="15" hidden="false" customHeight="false" outlineLevel="0" collapsed="false">
      <c r="A502" s="1"/>
      <c r="B502" s="15"/>
      <c r="C502" s="15"/>
      <c r="D502" s="15"/>
      <c r="E502" s="15"/>
      <c r="F502" s="15"/>
      <c r="G502" s="17" t="str">
        <f aca="false">IF(D502="","",IF(OR(D502="WhatsApp",D502="Apagado"),"No","Sí"))</f>
        <v/>
      </c>
      <c r="H502" s="15"/>
      <c r="I502" s="21"/>
      <c r="J502" s="15"/>
      <c r="K502" s="1"/>
    </row>
    <row r="503" customFormat="false" ht="15" hidden="false" customHeight="false" outlineLevel="0" collapsed="false">
      <c r="A503" s="1"/>
      <c r="B503" s="10"/>
      <c r="C503" s="10"/>
      <c r="D503" s="10"/>
      <c r="E503" s="10"/>
      <c r="F503" s="10"/>
      <c r="G503" s="12" t="str">
        <f aca="false">IF(D503="","",IF(OR(D503="WhatsApp",D503="Apagado"),"No","Sí"))</f>
        <v/>
      </c>
      <c r="H503" s="10"/>
      <c r="I503" s="20"/>
      <c r="J503" s="10"/>
      <c r="K503" s="1"/>
    </row>
    <row r="504" customFormat="false" ht="15" hidden="false" customHeight="false" outlineLevel="0" collapsed="false">
      <c r="A504" s="1"/>
      <c r="B504" s="15"/>
      <c r="C504" s="15"/>
      <c r="D504" s="15"/>
      <c r="E504" s="15"/>
      <c r="F504" s="15"/>
      <c r="G504" s="17" t="str">
        <f aca="false">IF(D504="","",IF(OR(D504="WhatsApp",D504="Apagado"),"No","Sí"))</f>
        <v/>
      </c>
      <c r="H504" s="15"/>
      <c r="I504" s="21"/>
      <c r="J504" s="15"/>
      <c r="K504" s="1"/>
    </row>
    <row r="505" customFormat="false" ht="15" hidden="false" customHeight="false" outlineLevel="0" collapsed="false">
      <c r="A505" s="1"/>
      <c r="B505" s="10"/>
      <c r="C505" s="10"/>
      <c r="D505" s="10"/>
      <c r="E505" s="10"/>
      <c r="F505" s="10"/>
      <c r="G505" s="12" t="str">
        <f aca="false">IF(D505="","",IF(OR(D505="WhatsApp",D505="Apagado"),"No","Sí"))</f>
        <v/>
      </c>
      <c r="H505" s="10"/>
      <c r="I505" s="20"/>
      <c r="J505" s="10"/>
      <c r="K505" s="1"/>
    </row>
    <row r="506" customFormat="false" ht="15" hidden="false" customHeight="false" outlineLevel="0" collapsed="false">
      <c r="A506" s="1"/>
      <c r="B506" s="15"/>
      <c r="C506" s="15"/>
      <c r="D506" s="15"/>
      <c r="E506" s="15"/>
      <c r="F506" s="15"/>
      <c r="G506" s="17" t="str">
        <f aca="false">IF(D506="","",IF(OR(D506="WhatsApp",D506="Apagado"),"No","Sí"))</f>
        <v/>
      </c>
      <c r="H506" s="15"/>
      <c r="I506" s="21"/>
      <c r="J506" s="15"/>
      <c r="K506" s="1"/>
    </row>
    <row r="507" customFormat="false" ht="15" hidden="false" customHeight="false" outlineLevel="0" collapsed="false">
      <c r="A507" s="1"/>
      <c r="B507" s="10"/>
      <c r="C507" s="10"/>
      <c r="D507" s="10"/>
      <c r="E507" s="10"/>
      <c r="F507" s="10"/>
      <c r="G507" s="12" t="str">
        <f aca="false">IF(D507="","",IF(OR(D507="WhatsApp",D507="Apagado"),"No","Sí"))</f>
        <v/>
      </c>
      <c r="H507" s="10"/>
      <c r="I507" s="20"/>
      <c r="J507" s="10"/>
      <c r="K507" s="1"/>
    </row>
    <row r="508" customFormat="false" ht="15" hidden="false" customHeight="false" outlineLevel="0" collapsed="false">
      <c r="A508" s="1"/>
      <c r="B508" s="15"/>
      <c r="C508" s="15"/>
      <c r="D508" s="15"/>
      <c r="E508" s="15"/>
      <c r="F508" s="15"/>
      <c r="G508" s="17" t="str">
        <f aca="false">IF(D508="","",IF(OR(D508="WhatsApp",D508="Apagado"),"No","Sí"))</f>
        <v/>
      </c>
      <c r="H508" s="15"/>
      <c r="I508" s="21"/>
      <c r="J508" s="15"/>
      <c r="K508" s="1"/>
    </row>
    <row r="509" customFormat="false" ht="15" hidden="false" customHeight="false" outlineLevel="0" collapsed="false">
      <c r="A509" s="1"/>
      <c r="B509" s="10"/>
      <c r="C509" s="10"/>
      <c r="D509" s="10"/>
      <c r="E509" s="10"/>
      <c r="F509" s="10"/>
      <c r="G509" s="12" t="str">
        <f aca="false">IF(D509="","",IF(OR(D509="WhatsApp",D509="Apagado"),"No","Sí"))</f>
        <v/>
      </c>
      <c r="H509" s="10"/>
      <c r="I509" s="20"/>
      <c r="J509" s="10"/>
      <c r="K509" s="1"/>
    </row>
    <row r="510" customFormat="false" ht="15" hidden="false" customHeight="false" outlineLevel="0" collapsed="false">
      <c r="A510" s="1"/>
      <c r="B510" s="15"/>
      <c r="C510" s="15"/>
      <c r="D510" s="15"/>
      <c r="E510" s="15"/>
      <c r="F510" s="15"/>
      <c r="G510" s="17" t="str">
        <f aca="false">IF(D510="","",IF(OR(D510="WhatsApp",D510="Apagado"),"No","Sí"))</f>
        <v/>
      </c>
      <c r="H510" s="15"/>
      <c r="I510" s="21"/>
      <c r="J510" s="15"/>
      <c r="K510" s="1"/>
    </row>
    <row r="511" customFormat="false" ht="15" hidden="false" customHeight="false" outlineLevel="0" collapsed="false">
      <c r="A511" s="1"/>
      <c r="B511" s="10"/>
      <c r="C511" s="10"/>
      <c r="D511" s="10"/>
      <c r="E511" s="10"/>
      <c r="F511" s="10"/>
      <c r="G511" s="12" t="str">
        <f aca="false">IF(D511="","",IF(OR(D511="WhatsApp",D511="Apagado"),"No","Sí"))</f>
        <v/>
      </c>
      <c r="H511" s="10"/>
      <c r="I511" s="20"/>
      <c r="J511" s="10"/>
      <c r="K511" s="1"/>
    </row>
    <row r="512" customFormat="false" ht="15" hidden="false" customHeight="false" outlineLevel="0" collapsed="false">
      <c r="A512" s="1"/>
      <c r="B512" s="15"/>
      <c r="C512" s="15"/>
      <c r="D512" s="15"/>
      <c r="E512" s="15"/>
      <c r="F512" s="15"/>
      <c r="G512" s="17" t="str">
        <f aca="false">IF(D512="","",IF(OR(D512="WhatsApp",D512="Apagado"),"No","Sí"))</f>
        <v/>
      </c>
      <c r="H512" s="15"/>
      <c r="I512" s="21"/>
      <c r="J512" s="15"/>
      <c r="K512" s="1"/>
    </row>
    <row r="513" customFormat="false" ht="15" hidden="false" customHeight="false" outlineLevel="0" collapsed="false">
      <c r="A513" s="1"/>
      <c r="B513" s="10"/>
      <c r="C513" s="10"/>
      <c r="D513" s="10"/>
      <c r="E513" s="10"/>
      <c r="F513" s="10"/>
      <c r="G513" s="12" t="str">
        <f aca="false">IF(D513="","",IF(OR(D513="WhatsApp",D513="Apagado"),"No","Sí"))</f>
        <v/>
      </c>
      <c r="H513" s="10"/>
      <c r="I513" s="20"/>
      <c r="J513" s="10"/>
      <c r="K513" s="1"/>
    </row>
    <row r="514" customFormat="false" ht="15" hidden="false" customHeight="false" outlineLevel="0" collapsed="false">
      <c r="A514" s="1"/>
      <c r="B514" s="15"/>
      <c r="C514" s="15"/>
      <c r="D514" s="15"/>
      <c r="E514" s="15"/>
      <c r="F514" s="15"/>
      <c r="G514" s="17" t="str">
        <f aca="false">IF(D514="","",IF(OR(D514="WhatsApp",D514="Apagado"),"No","Sí"))</f>
        <v/>
      </c>
      <c r="H514" s="15"/>
      <c r="I514" s="21"/>
      <c r="J514" s="15"/>
      <c r="K514" s="1"/>
    </row>
    <row r="515" customFormat="false" ht="15" hidden="false" customHeight="false" outlineLevel="0" collapsed="false">
      <c r="A515" s="1"/>
      <c r="B515" s="10"/>
      <c r="C515" s="10"/>
      <c r="D515" s="10"/>
      <c r="E515" s="10"/>
      <c r="F515" s="10"/>
      <c r="G515" s="12" t="str">
        <f aca="false">IF(D515="","",IF(OR(D515="WhatsApp",D515="Apagado"),"No","Sí"))</f>
        <v/>
      </c>
      <c r="H515" s="10"/>
      <c r="I515" s="20"/>
      <c r="J515" s="10"/>
      <c r="K515" s="1"/>
    </row>
    <row r="516" customFormat="false" ht="15" hidden="false" customHeight="false" outlineLevel="0" collapsed="false">
      <c r="A516" s="1"/>
      <c r="B516" s="15"/>
      <c r="C516" s="15"/>
      <c r="D516" s="15"/>
      <c r="E516" s="15"/>
      <c r="F516" s="15"/>
      <c r="G516" s="17" t="str">
        <f aca="false">IF(D516="","",IF(OR(D516="WhatsApp",D516="Apagado"),"No","Sí"))</f>
        <v/>
      </c>
      <c r="H516" s="15"/>
      <c r="I516" s="21"/>
      <c r="J516" s="15"/>
      <c r="K516" s="1"/>
    </row>
    <row r="517" customFormat="false" ht="15" hidden="false" customHeight="false" outlineLevel="0" collapsed="false">
      <c r="A517" s="1"/>
      <c r="B517" s="10"/>
      <c r="C517" s="10"/>
      <c r="D517" s="10"/>
      <c r="E517" s="10"/>
      <c r="F517" s="10"/>
      <c r="G517" s="12" t="str">
        <f aca="false">IF(D517="","",IF(OR(D517="WhatsApp",D517="Apagado"),"No","Sí"))</f>
        <v/>
      </c>
      <c r="H517" s="10"/>
      <c r="I517" s="20"/>
      <c r="J517" s="10"/>
      <c r="K517" s="1"/>
    </row>
    <row r="518" customFormat="false" ht="15" hidden="false" customHeight="false" outlineLevel="0" collapsed="false">
      <c r="A518" s="1"/>
      <c r="B518" s="15"/>
      <c r="C518" s="15"/>
      <c r="D518" s="15"/>
      <c r="E518" s="15"/>
      <c r="F518" s="15"/>
      <c r="G518" s="17" t="str">
        <f aca="false">IF(D518="","",IF(OR(D518="WhatsApp",D518="Apagado"),"No","Sí"))</f>
        <v/>
      </c>
      <c r="H518" s="15"/>
      <c r="I518" s="21"/>
      <c r="J518" s="15"/>
      <c r="K518" s="1"/>
    </row>
    <row r="519" customFormat="false" ht="15" hidden="false" customHeight="false" outlineLevel="0" collapsed="false">
      <c r="A519" s="1"/>
      <c r="B519" s="10"/>
      <c r="C519" s="10"/>
      <c r="D519" s="10"/>
      <c r="E519" s="10"/>
      <c r="F519" s="10"/>
      <c r="G519" s="12" t="str">
        <f aca="false">IF(D519="","",IF(OR(D519="WhatsApp",D519="Apagado"),"No","Sí"))</f>
        <v/>
      </c>
      <c r="H519" s="10"/>
      <c r="I519" s="20"/>
      <c r="J519" s="10"/>
      <c r="K519" s="1"/>
    </row>
    <row r="520" customFormat="false" ht="15" hidden="false" customHeight="false" outlineLevel="0" collapsed="false">
      <c r="A520" s="1"/>
      <c r="B520" s="15"/>
      <c r="C520" s="15"/>
      <c r="D520" s="15"/>
      <c r="E520" s="15"/>
      <c r="F520" s="15"/>
      <c r="G520" s="17" t="str">
        <f aca="false">IF(D520="","",IF(OR(D520="WhatsApp",D520="Apagado"),"No","Sí"))</f>
        <v/>
      </c>
      <c r="H520" s="15"/>
      <c r="I520" s="21"/>
      <c r="J520" s="15"/>
      <c r="K520" s="1"/>
    </row>
    <row r="521" customFormat="false" ht="15" hidden="false" customHeight="false" outlineLevel="0" collapsed="false">
      <c r="A521" s="1"/>
      <c r="B521" s="10"/>
      <c r="C521" s="10"/>
      <c r="D521" s="10"/>
      <c r="E521" s="10"/>
      <c r="F521" s="10"/>
      <c r="G521" s="12" t="str">
        <f aca="false">IF(D521="","",IF(OR(D521="WhatsApp",D521="Apagado"),"No","Sí"))</f>
        <v/>
      </c>
      <c r="H521" s="10"/>
      <c r="I521" s="20"/>
      <c r="J521" s="10"/>
      <c r="K521" s="1"/>
    </row>
    <row r="522" customFormat="false" ht="15" hidden="false" customHeight="false" outlineLevel="0" collapsed="false">
      <c r="A522" s="1"/>
      <c r="B522" s="15"/>
      <c r="C522" s="15"/>
      <c r="D522" s="15"/>
      <c r="E522" s="15"/>
      <c r="F522" s="15"/>
      <c r="G522" s="17" t="str">
        <f aca="false">IF(D522="","",IF(OR(D522="WhatsApp",D522="Apagado"),"No","Sí"))</f>
        <v/>
      </c>
      <c r="H522" s="15"/>
      <c r="I522" s="21"/>
      <c r="J522" s="15"/>
      <c r="K522" s="1"/>
    </row>
    <row r="523" customFormat="false" ht="15" hidden="false" customHeight="false" outlineLevel="0" collapsed="false">
      <c r="A523" s="1"/>
      <c r="B523" s="10"/>
      <c r="C523" s="10"/>
      <c r="D523" s="10"/>
      <c r="E523" s="10"/>
      <c r="F523" s="10"/>
      <c r="G523" s="12" t="str">
        <f aca="false">IF(D523="","",IF(OR(D523="WhatsApp",D523="Apagado"),"No","Sí"))</f>
        <v/>
      </c>
      <c r="H523" s="10"/>
      <c r="I523" s="20"/>
      <c r="J523" s="10"/>
      <c r="K523" s="1"/>
    </row>
    <row r="524" customFormat="false" ht="15" hidden="false" customHeight="false" outlineLevel="0" collapsed="false">
      <c r="A524" s="1"/>
      <c r="B524" s="15"/>
      <c r="C524" s="15"/>
      <c r="D524" s="15"/>
      <c r="E524" s="15"/>
      <c r="F524" s="15"/>
      <c r="G524" s="17" t="str">
        <f aca="false">IF(D524="","",IF(OR(D524="WhatsApp",D524="Apagado"),"No","Sí"))</f>
        <v/>
      </c>
      <c r="H524" s="15"/>
      <c r="I524" s="21"/>
      <c r="J524" s="15"/>
      <c r="K524" s="1"/>
    </row>
    <row r="525" customFormat="false" ht="15" hidden="false" customHeight="false" outlineLevel="0" collapsed="false">
      <c r="A525" s="1"/>
      <c r="B525" s="10"/>
      <c r="C525" s="10"/>
      <c r="D525" s="10"/>
      <c r="E525" s="10"/>
      <c r="F525" s="10"/>
      <c r="G525" s="12" t="str">
        <f aca="false">IF(D525="","",IF(OR(D525="WhatsApp",D525="Apagado"),"No","Sí"))</f>
        <v/>
      </c>
      <c r="H525" s="10"/>
      <c r="I525" s="20"/>
      <c r="J525" s="10"/>
      <c r="K525" s="1"/>
    </row>
    <row r="526" customFormat="false" ht="15" hidden="false" customHeight="false" outlineLevel="0" collapsed="false">
      <c r="A526" s="1"/>
      <c r="B526" s="15"/>
      <c r="C526" s="15"/>
      <c r="D526" s="15"/>
      <c r="E526" s="15"/>
      <c r="F526" s="15"/>
      <c r="G526" s="17" t="str">
        <f aca="false">IF(D526="","",IF(OR(D526="WhatsApp",D526="Apagado"),"No","Sí"))</f>
        <v/>
      </c>
      <c r="H526" s="15"/>
      <c r="I526" s="21"/>
      <c r="J526" s="15"/>
      <c r="K526" s="1"/>
    </row>
    <row r="527" customFormat="false" ht="15" hidden="false" customHeight="false" outlineLevel="0" collapsed="false">
      <c r="A527" s="1"/>
      <c r="B527" s="10"/>
      <c r="C527" s="10"/>
      <c r="D527" s="10"/>
      <c r="E527" s="10"/>
      <c r="F527" s="10"/>
      <c r="G527" s="12" t="str">
        <f aca="false">IF(D527="","",IF(OR(D527="WhatsApp",D527="Apagado"),"No","Sí"))</f>
        <v/>
      </c>
      <c r="H527" s="10"/>
      <c r="I527" s="20"/>
      <c r="J527" s="10"/>
      <c r="K527" s="1"/>
    </row>
    <row r="528" customFormat="false" ht="15" hidden="false" customHeight="false" outlineLevel="0" collapsed="false">
      <c r="A528" s="1"/>
      <c r="B528" s="15"/>
      <c r="C528" s="15"/>
      <c r="D528" s="15"/>
      <c r="E528" s="15"/>
      <c r="F528" s="15"/>
      <c r="G528" s="17" t="str">
        <f aca="false">IF(D528="","",IF(OR(D528="WhatsApp",D528="Apagado"),"No","Sí"))</f>
        <v/>
      </c>
      <c r="H528" s="15"/>
      <c r="I528" s="21"/>
      <c r="J528" s="15"/>
      <c r="K528" s="1"/>
    </row>
    <row r="529" customFormat="false" ht="15" hidden="false" customHeight="false" outlineLevel="0" collapsed="false">
      <c r="A529" s="1"/>
      <c r="B529" s="10"/>
      <c r="C529" s="10"/>
      <c r="D529" s="10"/>
      <c r="E529" s="10"/>
      <c r="F529" s="10"/>
      <c r="G529" s="12" t="str">
        <f aca="false">IF(D529="","",IF(OR(D529="WhatsApp",D529="Apagado"),"No","Sí"))</f>
        <v/>
      </c>
      <c r="H529" s="10"/>
      <c r="I529" s="20"/>
      <c r="J529" s="10"/>
      <c r="K529" s="1"/>
    </row>
    <row r="530" customFormat="false" ht="15" hidden="false" customHeight="false" outlineLevel="0" collapsed="false">
      <c r="A530" s="1"/>
      <c r="B530" s="15"/>
      <c r="C530" s="15"/>
      <c r="D530" s="15"/>
      <c r="E530" s="15"/>
      <c r="F530" s="15"/>
      <c r="G530" s="17" t="str">
        <f aca="false">IF(D530="","",IF(OR(D530="WhatsApp",D530="Apagado"),"No","Sí"))</f>
        <v/>
      </c>
      <c r="H530" s="15"/>
      <c r="I530" s="21"/>
      <c r="J530" s="15"/>
      <c r="K530" s="1"/>
    </row>
    <row r="531" customFormat="false" ht="15" hidden="false" customHeight="false" outlineLevel="0" collapsed="false">
      <c r="A531" s="1"/>
      <c r="B531" s="10"/>
      <c r="C531" s="10"/>
      <c r="D531" s="10"/>
      <c r="E531" s="10"/>
      <c r="F531" s="10"/>
      <c r="G531" s="12" t="str">
        <f aca="false">IF(D531="","",IF(OR(D531="WhatsApp",D531="Apagado"),"No","Sí"))</f>
        <v/>
      </c>
      <c r="H531" s="10"/>
      <c r="I531" s="20"/>
      <c r="J531" s="10"/>
      <c r="K531" s="1"/>
    </row>
    <row r="532" customFormat="false" ht="15" hidden="false" customHeight="false" outlineLevel="0" collapsed="false">
      <c r="A532" s="1"/>
      <c r="B532" s="15"/>
      <c r="C532" s="15"/>
      <c r="D532" s="15"/>
      <c r="E532" s="15"/>
      <c r="F532" s="15"/>
      <c r="G532" s="17" t="str">
        <f aca="false">IF(D532="","",IF(OR(D532="WhatsApp",D532="Apagado"),"No","Sí"))</f>
        <v/>
      </c>
      <c r="H532" s="15"/>
      <c r="I532" s="21"/>
      <c r="J532" s="15"/>
      <c r="K532" s="1"/>
    </row>
    <row r="533" customFormat="false" ht="15" hidden="false" customHeight="false" outlineLevel="0" collapsed="false">
      <c r="A533" s="1"/>
      <c r="B533" s="10"/>
      <c r="C533" s="10"/>
      <c r="D533" s="10"/>
      <c r="E533" s="10"/>
      <c r="F533" s="10"/>
      <c r="G533" s="12" t="str">
        <f aca="false">IF(D533="","",IF(OR(D533="WhatsApp",D533="Apagado"),"No","Sí"))</f>
        <v/>
      </c>
      <c r="H533" s="10"/>
      <c r="I533" s="20"/>
      <c r="J533" s="10"/>
      <c r="K533" s="1"/>
    </row>
    <row r="534" customFormat="false" ht="15" hidden="false" customHeight="false" outlineLevel="0" collapsed="false">
      <c r="A534" s="1"/>
      <c r="B534" s="15"/>
      <c r="C534" s="15"/>
      <c r="D534" s="15"/>
      <c r="E534" s="15"/>
      <c r="F534" s="15"/>
      <c r="G534" s="17" t="str">
        <f aca="false">IF(D534="","",IF(OR(D534="WhatsApp",D534="Apagado"),"No","Sí"))</f>
        <v/>
      </c>
      <c r="H534" s="15"/>
      <c r="I534" s="21"/>
      <c r="J534" s="15"/>
      <c r="K534" s="1"/>
    </row>
    <row r="535" customFormat="false" ht="15" hidden="false" customHeight="false" outlineLevel="0" collapsed="false">
      <c r="A535" s="1"/>
      <c r="B535" s="10"/>
      <c r="C535" s="10"/>
      <c r="D535" s="10"/>
      <c r="E535" s="10"/>
      <c r="F535" s="10"/>
      <c r="G535" s="12" t="str">
        <f aca="false">IF(D535="","",IF(OR(D535="WhatsApp",D535="Apagado"),"No","Sí"))</f>
        <v/>
      </c>
      <c r="H535" s="10"/>
      <c r="I535" s="20"/>
      <c r="J535" s="10"/>
      <c r="K535" s="1"/>
    </row>
    <row r="536" customFormat="false" ht="15" hidden="false" customHeight="false" outlineLevel="0" collapsed="false">
      <c r="A536" s="1"/>
      <c r="B536" s="15"/>
      <c r="C536" s="15"/>
      <c r="D536" s="15"/>
      <c r="E536" s="15"/>
      <c r="F536" s="15"/>
      <c r="G536" s="17" t="str">
        <f aca="false">IF(D536="","",IF(OR(D536="WhatsApp",D536="Apagado"),"No","Sí"))</f>
        <v/>
      </c>
      <c r="H536" s="15"/>
      <c r="I536" s="21"/>
      <c r="J536" s="15"/>
      <c r="K536" s="1"/>
    </row>
    <row r="537" customFormat="false" ht="15" hidden="false" customHeight="false" outlineLevel="0" collapsed="false">
      <c r="A537" s="1"/>
      <c r="B537" s="10"/>
      <c r="C537" s="10"/>
      <c r="D537" s="10"/>
      <c r="E537" s="10"/>
      <c r="F537" s="10"/>
      <c r="G537" s="12" t="str">
        <f aca="false">IF(D537="","",IF(OR(D537="WhatsApp",D537="Apagado"),"No","Sí"))</f>
        <v/>
      </c>
      <c r="H537" s="10"/>
      <c r="I537" s="20"/>
      <c r="J537" s="10"/>
      <c r="K537" s="1"/>
    </row>
    <row r="538" customFormat="false" ht="15" hidden="false" customHeight="false" outlineLevel="0" collapsed="false">
      <c r="A538" s="1"/>
      <c r="B538" s="15"/>
      <c r="C538" s="15"/>
      <c r="D538" s="15"/>
      <c r="E538" s="15"/>
      <c r="F538" s="15"/>
      <c r="G538" s="17" t="str">
        <f aca="false">IF(D538="","",IF(OR(D538="WhatsApp",D538="Apagado"),"No","Sí"))</f>
        <v/>
      </c>
      <c r="H538" s="15"/>
      <c r="I538" s="21"/>
      <c r="J538" s="15"/>
      <c r="K538" s="1"/>
    </row>
    <row r="539" customFormat="false" ht="15" hidden="false" customHeight="false" outlineLevel="0" collapsed="false">
      <c r="A539" s="1"/>
      <c r="B539" s="10"/>
      <c r="C539" s="10"/>
      <c r="D539" s="10"/>
      <c r="E539" s="10"/>
      <c r="F539" s="10"/>
      <c r="G539" s="12" t="str">
        <f aca="false">IF(D539="","",IF(OR(D539="WhatsApp",D539="Apagado"),"No","Sí"))</f>
        <v/>
      </c>
      <c r="H539" s="10"/>
      <c r="I539" s="20"/>
      <c r="J539" s="10"/>
      <c r="K539" s="1"/>
    </row>
    <row r="540" customFormat="false" ht="15" hidden="false" customHeight="false" outlineLevel="0" collapsed="false">
      <c r="A540" s="1"/>
      <c r="B540" s="15"/>
      <c r="C540" s="15"/>
      <c r="D540" s="15"/>
      <c r="E540" s="15"/>
      <c r="F540" s="15"/>
      <c r="G540" s="17" t="str">
        <f aca="false">IF(D540="","",IF(OR(D540="WhatsApp",D540="Apagado"),"No","Sí"))</f>
        <v/>
      </c>
      <c r="H540" s="15"/>
      <c r="I540" s="21"/>
      <c r="J540" s="15"/>
      <c r="K540" s="1"/>
    </row>
    <row r="541" customFormat="false" ht="15" hidden="false" customHeight="false" outlineLevel="0" collapsed="false">
      <c r="A541" s="1"/>
      <c r="B541" s="10"/>
      <c r="C541" s="10"/>
      <c r="D541" s="10"/>
      <c r="E541" s="10"/>
      <c r="F541" s="10"/>
      <c r="G541" s="12" t="str">
        <f aca="false">IF(D541="","",IF(OR(D541="WhatsApp",D541="Apagado"),"No","Sí"))</f>
        <v/>
      </c>
      <c r="H541" s="10"/>
      <c r="I541" s="20"/>
      <c r="J541" s="10"/>
      <c r="K541" s="1"/>
    </row>
    <row r="542" customFormat="false" ht="15" hidden="false" customHeight="false" outlineLevel="0" collapsed="false">
      <c r="A542" s="1"/>
      <c r="B542" s="15"/>
      <c r="C542" s="15"/>
      <c r="D542" s="15"/>
      <c r="E542" s="15"/>
      <c r="F542" s="15"/>
      <c r="G542" s="17" t="str">
        <f aca="false">IF(D542="","",IF(OR(D542="WhatsApp",D542="Apagado"),"No","Sí"))</f>
        <v/>
      </c>
      <c r="H542" s="15"/>
      <c r="I542" s="21"/>
      <c r="J542" s="15"/>
      <c r="K542" s="1"/>
    </row>
    <row r="543" customFormat="false" ht="15" hidden="false" customHeight="false" outlineLevel="0" collapsed="false">
      <c r="A543" s="1"/>
      <c r="B543" s="10"/>
      <c r="C543" s="10"/>
      <c r="D543" s="10"/>
      <c r="E543" s="10"/>
      <c r="F543" s="10"/>
      <c r="G543" s="12" t="str">
        <f aca="false">IF(D543="","",IF(OR(D543="WhatsApp",D543="Apagado"),"No","Sí"))</f>
        <v/>
      </c>
      <c r="H543" s="10"/>
      <c r="I543" s="20"/>
      <c r="J543" s="10"/>
      <c r="K543" s="1"/>
    </row>
    <row r="544" customFormat="false" ht="15" hidden="false" customHeight="false" outlineLevel="0" collapsed="false">
      <c r="A544" s="1"/>
      <c r="B544" s="15"/>
      <c r="C544" s="15"/>
      <c r="D544" s="15"/>
      <c r="E544" s="15"/>
      <c r="F544" s="15"/>
      <c r="G544" s="17" t="str">
        <f aca="false">IF(D544="","",IF(OR(D544="WhatsApp",D544="Apagado"),"No","Sí"))</f>
        <v/>
      </c>
      <c r="H544" s="15"/>
      <c r="I544" s="21"/>
      <c r="J544" s="15"/>
      <c r="K544" s="1"/>
    </row>
    <row r="545" customFormat="false" ht="15" hidden="false" customHeight="false" outlineLevel="0" collapsed="false">
      <c r="A545" s="1"/>
      <c r="B545" s="10"/>
      <c r="C545" s="10"/>
      <c r="D545" s="10"/>
      <c r="E545" s="10"/>
      <c r="F545" s="10"/>
      <c r="G545" s="12" t="str">
        <f aca="false">IF(D545="","",IF(OR(D545="WhatsApp",D545="Apagado"),"No","Sí"))</f>
        <v/>
      </c>
      <c r="H545" s="10"/>
      <c r="I545" s="20"/>
      <c r="J545" s="10"/>
      <c r="K545" s="1"/>
    </row>
    <row r="546" customFormat="false" ht="15" hidden="false" customHeight="false" outlineLevel="0" collapsed="false">
      <c r="A546" s="1"/>
      <c r="B546" s="15"/>
      <c r="C546" s="15"/>
      <c r="D546" s="15"/>
      <c r="E546" s="15"/>
      <c r="F546" s="15"/>
      <c r="G546" s="17" t="str">
        <f aca="false">IF(D546="","",IF(OR(D546="WhatsApp",D546="Apagado"),"No","Sí"))</f>
        <v/>
      </c>
      <c r="H546" s="15"/>
      <c r="I546" s="21"/>
      <c r="J546" s="15"/>
      <c r="K546" s="1"/>
    </row>
    <row r="547" customFormat="false" ht="15" hidden="false" customHeight="false" outlineLevel="0" collapsed="false">
      <c r="A547" s="1"/>
      <c r="B547" s="10"/>
      <c r="C547" s="10"/>
      <c r="D547" s="10"/>
      <c r="E547" s="10"/>
      <c r="F547" s="10"/>
      <c r="G547" s="12" t="str">
        <f aca="false">IF(D547="","",IF(OR(D547="WhatsApp",D547="Apagado"),"No","Sí"))</f>
        <v/>
      </c>
      <c r="H547" s="10"/>
      <c r="I547" s="20"/>
      <c r="J547" s="10"/>
      <c r="K547" s="1"/>
    </row>
    <row r="548" customFormat="false" ht="15" hidden="false" customHeight="false" outlineLevel="0" collapsed="false">
      <c r="A548" s="1"/>
      <c r="B548" s="15"/>
      <c r="C548" s="15"/>
      <c r="D548" s="15"/>
      <c r="E548" s="15"/>
      <c r="F548" s="15"/>
      <c r="G548" s="17" t="str">
        <f aca="false">IF(D548="","",IF(OR(D548="WhatsApp",D548="Apagado"),"No","Sí"))</f>
        <v/>
      </c>
      <c r="H548" s="15"/>
      <c r="I548" s="21"/>
      <c r="J548" s="15"/>
      <c r="K548" s="1"/>
    </row>
    <row r="549" customFormat="false" ht="15" hidden="false" customHeight="false" outlineLevel="0" collapsed="false">
      <c r="A549" s="1"/>
      <c r="B549" s="10"/>
      <c r="C549" s="10"/>
      <c r="D549" s="10"/>
      <c r="E549" s="10"/>
      <c r="F549" s="10"/>
      <c r="G549" s="12" t="str">
        <f aca="false">IF(D549="","",IF(OR(D549="WhatsApp",D549="Apagado"),"No","Sí"))</f>
        <v/>
      </c>
      <c r="H549" s="10"/>
      <c r="I549" s="20"/>
      <c r="J549" s="10"/>
      <c r="K549" s="1"/>
    </row>
    <row r="550" customFormat="false" ht="15" hidden="false" customHeight="false" outlineLevel="0" collapsed="false">
      <c r="A550" s="1"/>
      <c r="B550" s="15"/>
      <c r="C550" s="15"/>
      <c r="D550" s="15"/>
      <c r="E550" s="15"/>
      <c r="F550" s="15"/>
      <c r="G550" s="17" t="str">
        <f aca="false">IF(D550="","",IF(OR(D550="WhatsApp",D550="Apagado"),"No","Sí"))</f>
        <v/>
      </c>
      <c r="H550" s="15"/>
      <c r="I550" s="21"/>
      <c r="J550" s="15"/>
      <c r="K550" s="1"/>
    </row>
    <row r="551" customFormat="false" ht="15" hidden="false" customHeight="false" outlineLevel="0" collapsed="false">
      <c r="A551" s="1"/>
      <c r="B551" s="10"/>
      <c r="C551" s="10"/>
      <c r="D551" s="10"/>
      <c r="E551" s="10"/>
      <c r="F551" s="10"/>
      <c r="G551" s="12" t="str">
        <f aca="false">IF(D551="","",IF(OR(D551="WhatsApp",D551="Apagado"),"No","Sí"))</f>
        <v/>
      </c>
      <c r="H551" s="10"/>
      <c r="I551" s="20"/>
      <c r="J551" s="10"/>
      <c r="K551" s="1"/>
    </row>
    <row r="552" customFormat="false" ht="15" hidden="false" customHeight="false" outlineLevel="0" collapsed="false">
      <c r="A552" s="1"/>
      <c r="B552" s="15"/>
      <c r="C552" s="15"/>
      <c r="D552" s="15"/>
      <c r="E552" s="15"/>
      <c r="F552" s="15"/>
      <c r="G552" s="17" t="str">
        <f aca="false">IF(D552="","",IF(OR(D552="WhatsApp",D552="Apagado"),"No","Sí"))</f>
        <v/>
      </c>
      <c r="H552" s="15"/>
      <c r="I552" s="21"/>
      <c r="J552" s="15"/>
      <c r="K552" s="1"/>
    </row>
    <row r="553" customFormat="false" ht="15" hidden="false" customHeight="false" outlineLevel="0" collapsed="false">
      <c r="A553" s="1"/>
      <c r="B553" s="10"/>
      <c r="C553" s="10"/>
      <c r="D553" s="10"/>
      <c r="E553" s="10"/>
      <c r="F553" s="10"/>
      <c r="G553" s="12" t="str">
        <f aca="false">IF(D553="","",IF(OR(D553="WhatsApp",D553="Apagado"),"No","Sí"))</f>
        <v/>
      </c>
      <c r="H553" s="10"/>
      <c r="I553" s="20"/>
      <c r="J553" s="10"/>
      <c r="K553" s="1"/>
    </row>
    <row r="554" customFormat="false" ht="15" hidden="false" customHeight="false" outlineLevel="0" collapsed="false">
      <c r="A554" s="1"/>
      <c r="B554" s="15"/>
      <c r="C554" s="15"/>
      <c r="D554" s="15"/>
      <c r="E554" s="15"/>
      <c r="F554" s="15"/>
      <c r="G554" s="17" t="str">
        <f aca="false">IF(D554="","",IF(OR(D554="WhatsApp",D554="Apagado"),"No","Sí"))</f>
        <v/>
      </c>
      <c r="H554" s="15"/>
      <c r="I554" s="21"/>
      <c r="J554" s="15"/>
      <c r="K554" s="1"/>
    </row>
    <row r="555" customFormat="false" ht="15" hidden="false" customHeight="false" outlineLevel="0" collapsed="false">
      <c r="A555" s="1"/>
      <c r="B555" s="10"/>
      <c r="C555" s="10"/>
      <c r="D555" s="10"/>
      <c r="E555" s="10"/>
      <c r="F555" s="10"/>
      <c r="G555" s="12" t="str">
        <f aca="false">IF(D555="","",IF(OR(D555="WhatsApp",D555="Apagado"),"No","Sí"))</f>
        <v/>
      </c>
      <c r="H555" s="10"/>
      <c r="I555" s="20"/>
      <c r="J555" s="10"/>
      <c r="K555" s="1"/>
    </row>
    <row r="556" customFormat="false" ht="15" hidden="false" customHeight="false" outlineLevel="0" collapsed="false">
      <c r="A556" s="1"/>
      <c r="B556" s="15"/>
      <c r="C556" s="15"/>
      <c r="D556" s="15"/>
      <c r="E556" s="15"/>
      <c r="F556" s="15"/>
      <c r="G556" s="17" t="str">
        <f aca="false">IF(D556="","",IF(OR(D556="WhatsApp",D556="Apagado"),"No","Sí"))</f>
        <v/>
      </c>
      <c r="H556" s="15"/>
      <c r="I556" s="21"/>
      <c r="J556" s="15"/>
      <c r="K556" s="1"/>
    </row>
    <row r="557" customFormat="false" ht="15" hidden="false" customHeight="false" outlineLevel="0" collapsed="false">
      <c r="A557" s="1"/>
      <c r="B557" s="10"/>
      <c r="C557" s="10"/>
      <c r="D557" s="10"/>
      <c r="E557" s="10"/>
      <c r="F557" s="10"/>
      <c r="G557" s="12" t="str">
        <f aca="false">IF(D557="","",IF(OR(D557="WhatsApp",D557="Apagado"),"No","Sí"))</f>
        <v/>
      </c>
      <c r="H557" s="10"/>
      <c r="I557" s="20"/>
      <c r="J557" s="10"/>
      <c r="K557" s="1"/>
    </row>
    <row r="558" customFormat="false" ht="15" hidden="false" customHeight="false" outlineLevel="0" collapsed="false">
      <c r="A558" s="1"/>
      <c r="B558" s="15"/>
      <c r="C558" s="15"/>
      <c r="D558" s="15"/>
      <c r="E558" s="15"/>
      <c r="F558" s="15"/>
      <c r="G558" s="17" t="str">
        <f aca="false">IF(D558="","",IF(OR(D558="WhatsApp",D558="Apagado"),"No","Sí"))</f>
        <v/>
      </c>
      <c r="H558" s="15"/>
      <c r="I558" s="21"/>
      <c r="J558" s="15"/>
      <c r="K558" s="1"/>
    </row>
    <row r="559" customFormat="false" ht="15" hidden="false" customHeight="false" outlineLevel="0" collapsed="false">
      <c r="A559" s="1"/>
      <c r="B559" s="10"/>
      <c r="C559" s="10"/>
      <c r="D559" s="10"/>
      <c r="E559" s="10"/>
      <c r="F559" s="10"/>
      <c r="G559" s="12" t="str">
        <f aca="false">IF(D559="","",IF(OR(D559="WhatsApp",D559="Apagado"),"No","Sí"))</f>
        <v/>
      </c>
      <c r="H559" s="10"/>
      <c r="I559" s="20"/>
      <c r="J559" s="10"/>
      <c r="K559" s="1"/>
    </row>
    <row r="560" customFormat="false" ht="15" hidden="false" customHeight="false" outlineLevel="0" collapsed="false">
      <c r="A560" s="1"/>
      <c r="B560" s="15"/>
      <c r="C560" s="15"/>
      <c r="D560" s="15"/>
      <c r="E560" s="15"/>
      <c r="F560" s="15"/>
      <c r="G560" s="17" t="str">
        <f aca="false">IF(D560="","",IF(OR(D560="WhatsApp",D560="Apagado"),"No","Sí"))</f>
        <v/>
      </c>
      <c r="H560" s="15"/>
      <c r="I560" s="21"/>
      <c r="J560" s="15"/>
      <c r="K560" s="1"/>
    </row>
    <row r="561" customFormat="false" ht="15" hidden="false" customHeight="false" outlineLevel="0" collapsed="false">
      <c r="A561" s="1"/>
      <c r="B561" s="10"/>
      <c r="C561" s="10"/>
      <c r="D561" s="10"/>
      <c r="E561" s="10"/>
      <c r="F561" s="10"/>
      <c r="G561" s="12" t="str">
        <f aca="false">IF(D561="","",IF(OR(D561="WhatsApp",D561="Apagado"),"No","Sí"))</f>
        <v/>
      </c>
      <c r="H561" s="10"/>
      <c r="I561" s="20"/>
      <c r="J561" s="10"/>
      <c r="K561" s="1"/>
    </row>
    <row r="562" customFormat="false" ht="15" hidden="false" customHeight="false" outlineLevel="0" collapsed="false">
      <c r="A562" s="1"/>
      <c r="B562" s="15"/>
      <c r="C562" s="15"/>
      <c r="D562" s="15"/>
      <c r="E562" s="15"/>
      <c r="F562" s="15"/>
      <c r="G562" s="17" t="str">
        <f aca="false">IF(D562="","",IF(OR(D562="WhatsApp",D562="Apagado"),"No","Sí"))</f>
        <v/>
      </c>
      <c r="H562" s="15"/>
      <c r="I562" s="21"/>
      <c r="J562" s="15"/>
      <c r="K562" s="1"/>
    </row>
    <row r="563" customFormat="false" ht="15" hidden="false" customHeight="false" outlineLevel="0" collapsed="false">
      <c r="A563" s="1"/>
      <c r="B563" s="10"/>
      <c r="C563" s="10"/>
      <c r="D563" s="10"/>
      <c r="E563" s="10"/>
      <c r="F563" s="10"/>
      <c r="G563" s="12" t="str">
        <f aca="false">IF(D563="","",IF(OR(D563="WhatsApp",D563="Apagado"),"No","Sí"))</f>
        <v/>
      </c>
      <c r="H563" s="10"/>
      <c r="I563" s="20"/>
      <c r="J563" s="10"/>
      <c r="K563" s="1"/>
    </row>
    <row r="564" customFormat="false" ht="15" hidden="false" customHeight="false" outlineLevel="0" collapsed="false">
      <c r="A564" s="1"/>
      <c r="B564" s="15"/>
      <c r="C564" s="15"/>
      <c r="D564" s="15"/>
      <c r="E564" s="15"/>
      <c r="F564" s="15"/>
      <c r="G564" s="17" t="str">
        <f aca="false">IF(D564="","",IF(OR(D564="WhatsApp",D564="Apagado"),"No","Sí"))</f>
        <v/>
      </c>
      <c r="H564" s="15"/>
      <c r="I564" s="21"/>
      <c r="J564" s="15"/>
      <c r="K564" s="1"/>
    </row>
    <row r="565" customFormat="false" ht="15" hidden="false" customHeight="false" outlineLevel="0" collapsed="false">
      <c r="A565" s="1"/>
      <c r="B565" s="10"/>
      <c r="C565" s="10"/>
      <c r="D565" s="10"/>
      <c r="E565" s="10"/>
      <c r="F565" s="10"/>
      <c r="G565" s="12" t="str">
        <f aca="false">IF(D565="","",IF(OR(D565="WhatsApp",D565="Apagado"),"No","Sí"))</f>
        <v/>
      </c>
      <c r="H565" s="10"/>
      <c r="I565" s="20"/>
      <c r="J565" s="10"/>
      <c r="K565" s="1"/>
    </row>
    <row r="566" customFormat="false" ht="15" hidden="false" customHeight="false" outlineLevel="0" collapsed="false">
      <c r="A566" s="1"/>
      <c r="B566" s="15"/>
      <c r="C566" s="15"/>
      <c r="D566" s="15"/>
      <c r="E566" s="15"/>
      <c r="F566" s="15"/>
      <c r="G566" s="17" t="str">
        <f aca="false">IF(D566="","",IF(OR(D566="WhatsApp",D566="Apagado"),"No","Sí"))</f>
        <v/>
      </c>
      <c r="H566" s="15"/>
      <c r="I566" s="21"/>
      <c r="J566" s="15"/>
      <c r="K566" s="1"/>
    </row>
    <row r="567" customFormat="false" ht="15" hidden="false" customHeight="false" outlineLevel="0" collapsed="false">
      <c r="A567" s="1"/>
      <c r="B567" s="10"/>
      <c r="C567" s="10"/>
      <c r="D567" s="10"/>
      <c r="E567" s="10"/>
      <c r="F567" s="10"/>
      <c r="G567" s="12" t="str">
        <f aca="false">IF(D567="","",IF(OR(D567="WhatsApp",D567="Apagado"),"No","Sí"))</f>
        <v/>
      </c>
      <c r="H567" s="10"/>
      <c r="I567" s="20"/>
      <c r="J567" s="10"/>
      <c r="K567" s="1"/>
    </row>
    <row r="568" customFormat="false" ht="15" hidden="false" customHeight="false" outlineLevel="0" collapsed="false">
      <c r="A568" s="1"/>
      <c r="B568" s="15"/>
      <c r="C568" s="15"/>
      <c r="D568" s="15"/>
      <c r="E568" s="15"/>
      <c r="F568" s="15"/>
      <c r="G568" s="17" t="str">
        <f aca="false">IF(D568="","",IF(OR(D568="WhatsApp",D568="Apagado"),"No","Sí"))</f>
        <v/>
      </c>
      <c r="H568" s="15"/>
      <c r="I568" s="21"/>
      <c r="J568" s="15"/>
      <c r="K568" s="1"/>
    </row>
    <row r="569" customFormat="false" ht="15" hidden="false" customHeight="false" outlineLevel="0" collapsed="false">
      <c r="A569" s="1"/>
      <c r="B569" s="10"/>
      <c r="C569" s="10"/>
      <c r="D569" s="10"/>
      <c r="E569" s="10"/>
      <c r="F569" s="10"/>
      <c r="G569" s="12" t="str">
        <f aca="false">IF(D569="","",IF(OR(D569="WhatsApp",D569="Apagado"),"No","Sí"))</f>
        <v/>
      </c>
      <c r="H569" s="10"/>
      <c r="I569" s="20"/>
      <c r="J569" s="10"/>
      <c r="K569" s="1"/>
    </row>
    <row r="570" customFormat="false" ht="15" hidden="false" customHeight="false" outlineLevel="0" collapsed="false">
      <c r="A570" s="1"/>
      <c r="B570" s="15"/>
      <c r="C570" s="15"/>
      <c r="D570" s="15"/>
      <c r="E570" s="15"/>
      <c r="F570" s="15"/>
      <c r="G570" s="17" t="str">
        <f aca="false">IF(D570="","",IF(OR(D570="WhatsApp",D570="Apagado"),"No","Sí"))</f>
        <v/>
      </c>
      <c r="H570" s="15"/>
      <c r="I570" s="21"/>
      <c r="J570" s="15"/>
      <c r="K570" s="1"/>
    </row>
    <row r="571" customFormat="false" ht="15" hidden="false" customHeight="false" outlineLevel="0" collapsed="false">
      <c r="A571" s="1"/>
      <c r="B571" s="10"/>
      <c r="C571" s="10"/>
      <c r="D571" s="10"/>
      <c r="E571" s="10"/>
      <c r="F571" s="10"/>
      <c r="G571" s="12" t="str">
        <f aca="false">IF(D571="","",IF(OR(D571="WhatsApp",D571="Apagado"),"No","Sí"))</f>
        <v/>
      </c>
      <c r="H571" s="10"/>
      <c r="I571" s="20"/>
      <c r="J571" s="10"/>
      <c r="K571" s="1"/>
    </row>
    <row r="572" customFormat="false" ht="15" hidden="false" customHeight="false" outlineLevel="0" collapsed="false">
      <c r="A572" s="1"/>
      <c r="B572" s="15"/>
      <c r="C572" s="15"/>
      <c r="D572" s="15"/>
      <c r="E572" s="15"/>
      <c r="F572" s="15"/>
      <c r="G572" s="17" t="str">
        <f aca="false">IF(D572="","",IF(OR(D572="WhatsApp",D572="Apagado"),"No","Sí"))</f>
        <v/>
      </c>
      <c r="H572" s="15"/>
      <c r="I572" s="21"/>
      <c r="J572" s="15"/>
      <c r="K572" s="1"/>
    </row>
    <row r="573" customFormat="false" ht="15" hidden="false" customHeight="false" outlineLevel="0" collapsed="false">
      <c r="A573" s="1"/>
      <c r="B573" s="10"/>
      <c r="C573" s="10"/>
      <c r="D573" s="10"/>
      <c r="E573" s="10"/>
      <c r="F573" s="10"/>
      <c r="G573" s="12" t="str">
        <f aca="false">IF(D573="","",IF(OR(D573="WhatsApp",D573="Apagado"),"No","Sí"))</f>
        <v/>
      </c>
      <c r="H573" s="10"/>
      <c r="I573" s="20"/>
      <c r="J573" s="10"/>
      <c r="K573" s="1"/>
    </row>
    <row r="574" customFormat="false" ht="15" hidden="false" customHeight="false" outlineLevel="0" collapsed="false">
      <c r="A574" s="1"/>
      <c r="B574" s="15"/>
      <c r="C574" s="15"/>
      <c r="D574" s="15"/>
      <c r="E574" s="15"/>
      <c r="F574" s="15"/>
      <c r="G574" s="17" t="str">
        <f aca="false">IF(D574="","",IF(OR(D574="WhatsApp",D574="Apagado"),"No","Sí"))</f>
        <v/>
      </c>
      <c r="H574" s="15"/>
      <c r="I574" s="21"/>
      <c r="J574" s="15"/>
      <c r="K574" s="1"/>
    </row>
    <row r="575" customFormat="false" ht="15" hidden="false" customHeight="false" outlineLevel="0" collapsed="false">
      <c r="A575" s="1"/>
      <c r="B575" s="10"/>
      <c r="C575" s="10"/>
      <c r="D575" s="10"/>
      <c r="E575" s="10"/>
      <c r="F575" s="10"/>
      <c r="G575" s="12" t="str">
        <f aca="false">IF(D575="","",IF(OR(D575="WhatsApp",D575="Apagado"),"No","Sí"))</f>
        <v/>
      </c>
      <c r="H575" s="10"/>
      <c r="I575" s="20"/>
      <c r="J575" s="10"/>
      <c r="K575" s="1"/>
    </row>
    <row r="576" customFormat="false" ht="15" hidden="false" customHeight="false" outlineLevel="0" collapsed="false">
      <c r="A576" s="1"/>
      <c r="B576" s="15"/>
      <c r="C576" s="15"/>
      <c r="D576" s="15"/>
      <c r="E576" s="15"/>
      <c r="F576" s="15"/>
      <c r="G576" s="17" t="str">
        <f aca="false">IF(D576="","",IF(OR(D576="WhatsApp",D576="Apagado"),"No","Sí"))</f>
        <v/>
      </c>
      <c r="H576" s="15"/>
      <c r="I576" s="21"/>
      <c r="J576" s="15"/>
      <c r="K576" s="1"/>
    </row>
    <row r="577" customFormat="false" ht="15" hidden="false" customHeight="false" outlineLevel="0" collapsed="false">
      <c r="A577" s="1"/>
      <c r="B577" s="10"/>
      <c r="C577" s="10"/>
      <c r="D577" s="10"/>
      <c r="E577" s="10"/>
      <c r="F577" s="10"/>
      <c r="G577" s="12" t="str">
        <f aca="false">IF(D577="","",IF(OR(D577="WhatsApp",D577="Apagado"),"No","Sí"))</f>
        <v/>
      </c>
      <c r="H577" s="10"/>
      <c r="I577" s="20"/>
      <c r="J577" s="10"/>
      <c r="K577" s="1"/>
    </row>
    <row r="578" customFormat="false" ht="15" hidden="false" customHeight="false" outlineLevel="0" collapsed="false">
      <c r="A578" s="1"/>
      <c r="B578" s="15"/>
      <c r="C578" s="15"/>
      <c r="D578" s="15"/>
      <c r="E578" s="15"/>
      <c r="F578" s="15"/>
      <c r="G578" s="17" t="str">
        <f aca="false">IF(D578="","",IF(OR(D578="WhatsApp",D578="Apagado"),"No","Sí"))</f>
        <v/>
      </c>
      <c r="H578" s="15"/>
      <c r="I578" s="21"/>
      <c r="J578" s="15"/>
      <c r="K578" s="1"/>
    </row>
    <row r="579" customFormat="false" ht="15" hidden="false" customHeight="false" outlineLevel="0" collapsed="false">
      <c r="A579" s="1"/>
      <c r="B579" s="10"/>
      <c r="C579" s="10"/>
      <c r="D579" s="10"/>
      <c r="E579" s="10"/>
      <c r="F579" s="10"/>
      <c r="G579" s="12" t="str">
        <f aca="false">IF(D579="","",IF(OR(D579="WhatsApp",D579="Apagado"),"No","Sí"))</f>
        <v/>
      </c>
      <c r="H579" s="10"/>
      <c r="I579" s="20"/>
      <c r="J579" s="10"/>
      <c r="K579" s="1"/>
    </row>
    <row r="580" customFormat="false" ht="15" hidden="false" customHeight="false" outlineLevel="0" collapsed="false">
      <c r="A580" s="1"/>
      <c r="B580" s="15"/>
      <c r="C580" s="15"/>
      <c r="D580" s="15"/>
      <c r="E580" s="15"/>
      <c r="F580" s="15"/>
      <c r="G580" s="17" t="str">
        <f aca="false">IF(D580="","",IF(OR(D580="WhatsApp",D580="Apagado"),"No","Sí"))</f>
        <v/>
      </c>
      <c r="H580" s="15"/>
      <c r="I580" s="21"/>
      <c r="J580" s="15"/>
      <c r="K580" s="1"/>
    </row>
    <row r="581" customFormat="false" ht="15" hidden="false" customHeight="false" outlineLevel="0" collapsed="false">
      <c r="A581" s="1"/>
      <c r="B581" s="10"/>
      <c r="C581" s="10"/>
      <c r="D581" s="10"/>
      <c r="E581" s="10"/>
      <c r="F581" s="10"/>
      <c r="G581" s="12" t="str">
        <f aca="false">IF(D581="","",IF(OR(D581="WhatsApp",D581="Apagado"),"No","Sí"))</f>
        <v/>
      </c>
      <c r="H581" s="10"/>
      <c r="I581" s="20"/>
      <c r="J581" s="10"/>
      <c r="K581" s="1"/>
    </row>
    <row r="582" customFormat="false" ht="15" hidden="false" customHeight="false" outlineLevel="0" collapsed="false">
      <c r="A582" s="1"/>
      <c r="B582" s="15"/>
      <c r="C582" s="15"/>
      <c r="D582" s="15"/>
      <c r="E582" s="15"/>
      <c r="F582" s="15"/>
      <c r="G582" s="17" t="str">
        <f aca="false">IF(D582="","",IF(OR(D582="WhatsApp",D582="Apagado"),"No","Sí"))</f>
        <v/>
      </c>
      <c r="H582" s="15"/>
      <c r="I582" s="21"/>
      <c r="J582" s="15"/>
      <c r="K582" s="1"/>
    </row>
    <row r="583" customFormat="false" ht="15" hidden="false" customHeight="false" outlineLevel="0" collapsed="false">
      <c r="A583" s="1"/>
      <c r="B583" s="10"/>
      <c r="C583" s="10"/>
      <c r="D583" s="10"/>
      <c r="E583" s="10"/>
      <c r="F583" s="10"/>
      <c r="G583" s="12" t="str">
        <f aca="false">IF(D583="","",IF(OR(D583="WhatsApp",D583="Apagado"),"No","Sí"))</f>
        <v/>
      </c>
      <c r="H583" s="10"/>
      <c r="I583" s="20"/>
      <c r="J583" s="10"/>
      <c r="K583" s="1"/>
    </row>
    <row r="584" customFormat="false" ht="15" hidden="false" customHeight="false" outlineLevel="0" collapsed="false">
      <c r="A584" s="1"/>
      <c r="B584" s="15"/>
      <c r="C584" s="15"/>
      <c r="D584" s="15"/>
      <c r="E584" s="15"/>
      <c r="F584" s="15"/>
      <c r="G584" s="17" t="str">
        <f aca="false">IF(D584="","",IF(OR(D584="WhatsApp",D584="Apagado"),"No","Sí"))</f>
        <v/>
      </c>
      <c r="H584" s="15"/>
      <c r="I584" s="21"/>
      <c r="J584" s="15"/>
      <c r="K584" s="1"/>
    </row>
    <row r="585" customFormat="false" ht="15" hidden="false" customHeight="false" outlineLevel="0" collapsed="false">
      <c r="A585" s="1"/>
      <c r="B585" s="10"/>
      <c r="C585" s="10"/>
      <c r="D585" s="10"/>
      <c r="E585" s="10"/>
      <c r="F585" s="10"/>
      <c r="G585" s="12" t="str">
        <f aca="false">IF(D585="","",IF(OR(D585="WhatsApp",D585="Apagado"),"No","Sí"))</f>
        <v/>
      </c>
      <c r="H585" s="10"/>
      <c r="I585" s="20"/>
      <c r="J585" s="10"/>
      <c r="K585" s="1"/>
    </row>
    <row r="586" customFormat="false" ht="15" hidden="false" customHeight="false" outlineLevel="0" collapsed="false">
      <c r="A586" s="1"/>
      <c r="B586" s="15"/>
      <c r="C586" s="15"/>
      <c r="D586" s="15"/>
      <c r="E586" s="15"/>
      <c r="F586" s="15"/>
      <c r="G586" s="17" t="str">
        <f aca="false">IF(D586="","",IF(OR(D586="WhatsApp",D586="Apagado"),"No","Sí"))</f>
        <v/>
      </c>
      <c r="H586" s="15"/>
      <c r="I586" s="21"/>
      <c r="J586" s="15"/>
      <c r="K586" s="1"/>
    </row>
    <row r="587" customFormat="false" ht="15" hidden="false" customHeight="false" outlineLevel="0" collapsed="false">
      <c r="A587" s="1"/>
      <c r="B587" s="10"/>
      <c r="C587" s="10"/>
      <c r="D587" s="10"/>
      <c r="E587" s="10"/>
      <c r="F587" s="10"/>
      <c r="G587" s="12" t="str">
        <f aca="false">IF(D587="","",IF(OR(D587="WhatsApp",D587="Apagado"),"No","Sí"))</f>
        <v/>
      </c>
      <c r="H587" s="10"/>
      <c r="I587" s="20"/>
      <c r="J587" s="10"/>
      <c r="K587" s="1"/>
    </row>
    <row r="588" customFormat="false" ht="15" hidden="false" customHeight="false" outlineLevel="0" collapsed="false">
      <c r="A588" s="1"/>
      <c r="B588" s="15"/>
      <c r="C588" s="15"/>
      <c r="D588" s="15"/>
      <c r="E588" s="15"/>
      <c r="F588" s="15"/>
      <c r="G588" s="17" t="str">
        <f aca="false">IF(D588="","",IF(OR(D588="WhatsApp",D588="Apagado"),"No","Sí"))</f>
        <v/>
      </c>
      <c r="H588" s="15"/>
      <c r="I588" s="21"/>
      <c r="J588" s="15"/>
      <c r="K588" s="1"/>
    </row>
    <row r="589" customFormat="false" ht="15" hidden="false" customHeight="false" outlineLevel="0" collapsed="false">
      <c r="A589" s="1"/>
      <c r="B589" s="10"/>
      <c r="C589" s="10"/>
      <c r="D589" s="10"/>
      <c r="E589" s="10"/>
      <c r="F589" s="10"/>
      <c r="G589" s="12" t="str">
        <f aca="false">IF(D589="","",IF(OR(D589="WhatsApp",D589="Apagado"),"No","Sí"))</f>
        <v/>
      </c>
      <c r="H589" s="10"/>
      <c r="I589" s="20"/>
      <c r="J589" s="10"/>
      <c r="K589" s="1"/>
    </row>
    <row r="590" customFormat="false" ht="15" hidden="false" customHeight="false" outlineLevel="0" collapsed="false">
      <c r="A590" s="1"/>
      <c r="B590" s="15"/>
      <c r="C590" s="15"/>
      <c r="D590" s="15"/>
      <c r="E590" s="15"/>
      <c r="F590" s="15"/>
      <c r="G590" s="17" t="str">
        <f aca="false">IF(D590="","",IF(OR(D590="WhatsApp",D590="Apagado"),"No","Sí"))</f>
        <v/>
      </c>
      <c r="H590" s="15"/>
      <c r="I590" s="21"/>
      <c r="J590" s="15"/>
      <c r="K590" s="1"/>
    </row>
    <row r="591" customFormat="false" ht="15" hidden="false" customHeight="false" outlineLevel="0" collapsed="false">
      <c r="A591" s="1"/>
      <c r="B591" s="10"/>
      <c r="C591" s="10"/>
      <c r="D591" s="10"/>
      <c r="E591" s="10"/>
      <c r="F591" s="10"/>
      <c r="G591" s="12" t="str">
        <f aca="false">IF(D591="","",IF(OR(D591="WhatsApp",D591="Apagado"),"No","Sí"))</f>
        <v/>
      </c>
      <c r="H591" s="10"/>
      <c r="I591" s="20"/>
      <c r="J591" s="10"/>
      <c r="K591" s="1"/>
    </row>
    <row r="592" customFormat="false" ht="15" hidden="false" customHeight="false" outlineLevel="0" collapsed="false">
      <c r="A592" s="1"/>
      <c r="B592" s="15"/>
      <c r="C592" s="15"/>
      <c r="D592" s="15"/>
      <c r="E592" s="15"/>
      <c r="F592" s="15"/>
      <c r="G592" s="17" t="str">
        <f aca="false">IF(D592="","",IF(OR(D592="WhatsApp",D592="Apagado"),"No","Sí"))</f>
        <v/>
      </c>
      <c r="H592" s="15"/>
      <c r="I592" s="21"/>
      <c r="J592" s="15"/>
      <c r="K592" s="1"/>
    </row>
    <row r="593" customFormat="false" ht="15" hidden="false" customHeight="false" outlineLevel="0" collapsed="false">
      <c r="A593" s="1"/>
      <c r="B593" s="10"/>
      <c r="C593" s="10"/>
      <c r="D593" s="10"/>
      <c r="E593" s="10"/>
      <c r="F593" s="10"/>
      <c r="G593" s="12" t="str">
        <f aca="false">IF(D593="","",IF(OR(D593="WhatsApp",D593="Apagado"),"No","Sí"))</f>
        <v/>
      </c>
      <c r="H593" s="10"/>
      <c r="I593" s="20"/>
      <c r="J593" s="10"/>
      <c r="K593" s="1"/>
    </row>
    <row r="594" customFormat="false" ht="15" hidden="false" customHeight="false" outlineLevel="0" collapsed="false">
      <c r="A594" s="1"/>
      <c r="B594" s="15"/>
      <c r="C594" s="15"/>
      <c r="D594" s="15"/>
      <c r="E594" s="15"/>
      <c r="F594" s="15"/>
      <c r="G594" s="17" t="str">
        <f aca="false">IF(D594="","",IF(OR(D594="WhatsApp",D594="Apagado"),"No","Sí"))</f>
        <v/>
      </c>
      <c r="H594" s="15"/>
      <c r="I594" s="21"/>
      <c r="J594" s="15"/>
      <c r="K594" s="1"/>
    </row>
    <row r="595" customFormat="false" ht="15" hidden="false" customHeight="false" outlineLevel="0" collapsed="false">
      <c r="A595" s="1"/>
      <c r="B595" s="10"/>
      <c r="C595" s="10"/>
      <c r="D595" s="10"/>
      <c r="E595" s="10"/>
      <c r="F595" s="10"/>
      <c r="G595" s="12" t="str">
        <f aca="false">IF(D595="","",IF(OR(D595="WhatsApp",D595="Apagado"),"No","Sí"))</f>
        <v/>
      </c>
      <c r="H595" s="10"/>
      <c r="I595" s="20"/>
      <c r="J595" s="10"/>
      <c r="K595" s="1"/>
    </row>
    <row r="596" customFormat="false" ht="15" hidden="false" customHeight="false" outlineLevel="0" collapsed="false">
      <c r="A596" s="1"/>
      <c r="B596" s="15"/>
      <c r="C596" s="15"/>
      <c r="D596" s="15"/>
      <c r="E596" s="15"/>
      <c r="F596" s="15"/>
      <c r="G596" s="17" t="str">
        <f aca="false">IF(D596="","",IF(OR(D596="WhatsApp",D596="Apagado"),"No","Sí"))</f>
        <v/>
      </c>
      <c r="H596" s="15"/>
      <c r="I596" s="21"/>
      <c r="J596" s="15"/>
      <c r="K596" s="1"/>
    </row>
    <row r="597" customFormat="false" ht="15" hidden="false" customHeight="false" outlineLevel="0" collapsed="false">
      <c r="A597" s="1"/>
      <c r="B597" s="10"/>
      <c r="C597" s="10"/>
      <c r="D597" s="10"/>
      <c r="E597" s="10"/>
      <c r="F597" s="10"/>
      <c r="G597" s="12" t="str">
        <f aca="false">IF(D597="","",IF(OR(D597="WhatsApp",D597="Apagado"),"No","Sí"))</f>
        <v/>
      </c>
      <c r="H597" s="10"/>
      <c r="I597" s="20"/>
      <c r="J597" s="10"/>
      <c r="K597" s="1"/>
    </row>
    <row r="598" customFormat="false" ht="15" hidden="false" customHeight="false" outlineLevel="0" collapsed="false">
      <c r="A598" s="1"/>
      <c r="B598" s="15"/>
      <c r="C598" s="15"/>
      <c r="D598" s="15"/>
      <c r="E598" s="15"/>
      <c r="F598" s="15"/>
      <c r="G598" s="17" t="str">
        <f aca="false">IF(D598="","",IF(OR(D598="WhatsApp",D598="Apagado"),"No","Sí"))</f>
        <v/>
      </c>
      <c r="H598" s="15"/>
      <c r="I598" s="21"/>
      <c r="J598" s="15"/>
      <c r="K598" s="1"/>
    </row>
    <row r="599" customFormat="false" ht="15" hidden="false" customHeight="false" outlineLevel="0" collapsed="false">
      <c r="A599" s="1"/>
      <c r="B599" s="10"/>
      <c r="C599" s="10"/>
      <c r="D599" s="10"/>
      <c r="E599" s="10"/>
      <c r="F599" s="10"/>
      <c r="G599" s="12" t="str">
        <f aca="false">IF(D599="","",IF(OR(D599="WhatsApp",D599="Apagado"),"No","Sí"))</f>
        <v/>
      </c>
      <c r="H599" s="10"/>
      <c r="I599" s="20"/>
      <c r="J599" s="10"/>
      <c r="K599" s="1"/>
    </row>
    <row r="600" customFormat="false" ht="15" hidden="false" customHeight="false" outlineLevel="0" collapsed="false">
      <c r="A600" s="1"/>
      <c r="B600" s="15"/>
      <c r="C600" s="15"/>
      <c r="D600" s="15"/>
      <c r="E600" s="15"/>
      <c r="F600" s="15"/>
      <c r="G600" s="17" t="str">
        <f aca="false">IF(D600="","",IF(OR(D600="WhatsApp",D600="Apagado"),"No","Sí"))</f>
        <v/>
      </c>
      <c r="H600" s="15"/>
      <c r="I600" s="21"/>
      <c r="J600" s="15"/>
      <c r="K600" s="1"/>
    </row>
    <row r="601" customFormat="false" ht="15" hidden="false" customHeight="false" outlineLevel="0" collapsed="false">
      <c r="A601" s="1"/>
      <c r="B601" s="10"/>
      <c r="C601" s="10"/>
      <c r="D601" s="10"/>
      <c r="E601" s="10"/>
      <c r="F601" s="10"/>
      <c r="G601" s="12" t="str">
        <f aca="false">IF(D601="","",IF(OR(D601="WhatsApp",D601="Apagado"),"No","Sí"))</f>
        <v/>
      </c>
      <c r="H601" s="10"/>
      <c r="I601" s="20"/>
      <c r="J601" s="10"/>
      <c r="K601" s="1"/>
    </row>
    <row r="602" customFormat="false" ht="15" hidden="false" customHeight="false" outlineLevel="0" collapsed="false">
      <c r="A602" s="1"/>
      <c r="B602" s="15"/>
      <c r="C602" s="15"/>
      <c r="D602" s="15"/>
      <c r="E602" s="15"/>
      <c r="F602" s="15"/>
      <c r="G602" s="17" t="str">
        <f aca="false">IF(D602="","",IF(OR(D602="WhatsApp",D602="Apagado"),"No","Sí"))</f>
        <v/>
      </c>
      <c r="H602" s="15"/>
      <c r="I602" s="21"/>
      <c r="J602" s="15"/>
      <c r="K602" s="1"/>
    </row>
    <row r="603" customFormat="false" ht="15" hidden="false" customHeight="false" outlineLevel="0" collapsed="false">
      <c r="A603" s="1"/>
      <c r="B603" s="10"/>
      <c r="C603" s="10"/>
      <c r="D603" s="10"/>
      <c r="E603" s="10"/>
      <c r="F603" s="10"/>
      <c r="G603" s="12" t="str">
        <f aca="false">IF(D603="","",IF(OR(D603="WhatsApp",D603="Apagado"),"No","Sí"))</f>
        <v/>
      </c>
      <c r="H603" s="10"/>
      <c r="I603" s="20"/>
      <c r="J603" s="10"/>
      <c r="K603" s="1"/>
    </row>
    <row r="604" customFormat="false" ht="15" hidden="false" customHeight="false" outlineLevel="0" collapsed="false">
      <c r="A604" s="1"/>
      <c r="B604" s="15"/>
      <c r="C604" s="15"/>
      <c r="D604" s="15"/>
      <c r="E604" s="15"/>
      <c r="F604" s="15"/>
      <c r="G604" s="17" t="str">
        <f aca="false">IF(D604="","",IF(OR(D604="WhatsApp",D604="Apagado"),"No","Sí"))</f>
        <v/>
      </c>
      <c r="H604" s="15"/>
      <c r="I604" s="21"/>
      <c r="J604" s="15"/>
      <c r="K604" s="1"/>
    </row>
    <row r="605" customFormat="false" ht="15" hidden="false" customHeight="false" outlineLevel="0" collapsed="false">
      <c r="A605" s="1"/>
      <c r="B605" s="10"/>
      <c r="C605" s="10"/>
      <c r="D605" s="10"/>
      <c r="E605" s="10"/>
      <c r="F605" s="10"/>
      <c r="G605" s="12" t="str">
        <f aca="false">IF(D605="","",IF(OR(D605="WhatsApp",D605="Apagado"),"No","Sí"))</f>
        <v/>
      </c>
      <c r="H605" s="10"/>
      <c r="I605" s="20"/>
      <c r="J605" s="10"/>
      <c r="K605" s="1"/>
    </row>
    <row r="606" customFormat="false" ht="15" hidden="false" customHeight="false" outlineLevel="0" collapsed="false">
      <c r="A606" s="1"/>
      <c r="B606" s="15"/>
      <c r="C606" s="15"/>
      <c r="D606" s="15"/>
      <c r="E606" s="15"/>
      <c r="F606" s="15"/>
      <c r="G606" s="17" t="str">
        <f aca="false">IF(D606="","",IF(OR(D606="WhatsApp",D606="Apagado"),"No","Sí"))</f>
        <v/>
      </c>
      <c r="H606" s="15"/>
      <c r="I606" s="21"/>
      <c r="J606" s="15"/>
      <c r="K606" s="1"/>
    </row>
    <row r="607" customFormat="false" ht="15" hidden="false" customHeight="false" outlineLevel="0" collapsed="false">
      <c r="A607" s="1"/>
      <c r="B607" s="1"/>
      <c r="C607" s="1"/>
      <c r="D607" s="1"/>
      <c r="E607" s="1"/>
      <c r="F607" s="1"/>
      <c r="G607" s="1"/>
      <c r="H607" s="1"/>
      <c r="I607" s="1"/>
      <c r="J607" s="1"/>
      <c r="K607" s="1"/>
    </row>
    <row r="608" customFormat="false" ht="15" hidden="false" customHeight="false" outlineLevel="0" collapsed="false">
      <c r="A608" s="1"/>
      <c r="B608" s="1"/>
      <c r="C608" s="1"/>
      <c r="D608" s="1"/>
      <c r="E608" s="1"/>
      <c r="F608" s="1"/>
      <c r="G608" s="1"/>
      <c r="H608" s="1"/>
      <c r="I608" s="1"/>
      <c r="J608" s="1"/>
      <c r="K608" s="1"/>
    </row>
    <row r="609" customFormat="false" ht="15" hidden="false" customHeight="false" outlineLevel="0" collapsed="false">
      <c r="A609" s="1"/>
      <c r="B609" s="1"/>
      <c r="C609" s="1"/>
      <c r="D609" s="1"/>
      <c r="E609" s="1"/>
      <c r="F609" s="1"/>
      <c r="G609" s="1"/>
      <c r="H609" s="1"/>
      <c r="I609" s="1"/>
      <c r="J609" s="1"/>
      <c r="K609" s="1"/>
    </row>
    <row r="610" customFormat="false" ht="15" hidden="false" customHeight="false" outlineLevel="0" collapsed="false">
      <c r="A610" s="1"/>
      <c r="B610" s="1"/>
      <c r="C610" s="1"/>
      <c r="D610" s="1"/>
      <c r="E610" s="1"/>
      <c r="F610" s="1"/>
      <c r="G610" s="1"/>
      <c r="H610" s="1"/>
      <c r="I610" s="1"/>
      <c r="J610" s="1"/>
      <c r="K610" s="1"/>
    </row>
    <row r="611" customFormat="false" ht="15" hidden="false" customHeight="false" outlineLevel="0" collapsed="false">
      <c r="A611" s="1"/>
      <c r="B611" s="1"/>
      <c r="C611" s="1"/>
      <c r="D611" s="1"/>
      <c r="E611" s="1"/>
      <c r="F611" s="1"/>
      <c r="G611" s="1"/>
      <c r="H611" s="1"/>
      <c r="I611" s="1"/>
      <c r="J611" s="1"/>
      <c r="K611" s="1"/>
    </row>
  </sheetData>
  <autoFilter ref="B6:J606"/>
  <conditionalFormatting sqref="G7:G606">
    <cfRule type="cellIs" priority="2" operator="equal" aboveAverage="0" equalAverage="0" bottom="0" percent="0" rank="0" text="" dxfId="9">
      <formula>"No"</formula>
    </cfRule>
    <cfRule type="cellIs" priority="3" operator="equal" aboveAverage="0" equalAverage="0" bottom="0" percent="0" rank="0" text="" dxfId="10">
      <formula>"Sí"</formula>
    </cfRule>
  </conditionalFormatting>
  <dataValidations count="2">
    <dataValidation allowBlank="true" errorStyle="stop" operator="between" showDropDown="false" showErrorMessage="false" showInputMessage="false" sqref="D7:D606" type="list">
      <formula1>Listas!$D$3:$D$5</formula1>
      <formula2>0</formula2>
    </dataValidation>
    <dataValidation allowBlank="true" errorStyle="stop" operator="between" showDropDown="false" showErrorMessage="false" showInputMessage="false" sqref="E7:E606" type="list">
      <formula1>Listas!$F$3:$F$22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C4B6"/>
    <pageSetUpPr fitToPage="false"/>
  </sheetPr>
  <dimension ref="A1:P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1"/>
    <col collapsed="false" customWidth="true" hidden="false" outlineLevel="0" max="3" min="3" style="0" width="26"/>
    <col collapsed="false" customWidth="true" hidden="false" outlineLevel="0" max="5" min="4" style="0" width="12"/>
    <col collapsed="false" customWidth="true" hidden="false" outlineLevel="0" max="6" min="6" style="0" width="10"/>
    <col collapsed="false" customWidth="true" hidden="false" outlineLevel="0" max="8" min="7" style="0" width="12"/>
    <col collapsed="false" customWidth="true" hidden="false" outlineLevel="0" max="10" min="9" style="0" width="13"/>
    <col collapsed="false" customWidth="true" hidden="false" outlineLevel="0" max="11" min="11" style="0" width="14"/>
    <col collapsed="false" customWidth="true" hidden="false" outlineLevel="0" max="12" min="12" style="0" width="9"/>
    <col collapsed="false" customWidth="true" hidden="false" outlineLevel="0" max="13" min="13" style="0" width="14"/>
    <col collapsed="false" customWidth="true" hidden="false" outlineLevel="0" max="14" min="14" style="0" width="34"/>
  </cols>
  <sheetData>
    <row r="1" customFormat="false" ht="7.5" hidden="false" customHeight="true" outlineLevel="0" collapsed="false">
      <c r="A1" s="1"/>
      <c r="B1" s="1"/>
      <c r="C1" s="1"/>
      <c r="D1" s="1"/>
      <c r="E1" s="1"/>
      <c r="F1" s="1"/>
      <c r="G1" s="1"/>
      <c r="H1" s="1"/>
      <c r="I1" s="1"/>
      <c r="J1" s="1"/>
      <c r="K1" s="1"/>
      <c r="L1" s="1"/>
      <c r="M1" s="1"/>
      <c r="N1" s="1"/>
      <c r="O1" s="1"/>
      <c r="P1" s="1"/>
    </row>
    <row r="2" customFormat="false" ht="18" hidden="false" customHeight="true" outlineLevel="0" collapsed="false">
      <c r="A2" s="1"/>
      <c r="B2" s="1"/>
      <c r="C2" s="1"/>
      <c r="D2" s="1"/>
      <c r="E2" s="2" t="s">
        <v>66</v>
      </c>
      <c r="F2" s="1"/>
      <c r="G2" s="1"/>
      <c r="H2" s="1"/>
      <c r="I2" s="1"/>
      <c r="J2" s="1"/>
      <c r="K2" s="1"/>
      <c r="L2" s="1"/>
      <c r="M2" s="1"/>
      <c r="N2" s="1"/>
      <c r="O2" s="1"/>
      <c r="P2" s="1"/>
    </row>
    <row r="3" customFormat="false" ht="18" hidden="false" customHeight="true" outlineLevel="0" collapsed="false">
      <c r="A3" s="1"/>
      <c r="B3" s="1"/>
      <c r="C3" s="1"/>
      <c r="D3" s="1"/>
      <c r="E3" s="3" t="s">
        <v>67</v>
      </c>
      <c r="F3" s="1"/>
      <c r="G3" s="1"/>
      <c r="H3" s="1"/>
      <c r="I3" s="1"/>
      <c r="J3" s="1"/>
      <c r="K3" s="1"/>
      <c r="L3" s="1"/>
      <c r="M3" s="1"/>
      <c r="N3" s="1"/>
      <c r="O3" s="1"/>
      <c r="P3" s="1"/>
    </row>
    <row r="4" customFormat="false" ht="15" hidden="false" customHeight="false" outlineLevel="0" collapsed="false">
      <c r="A4" s="1"/>
      <c r="B4" s="1"/>
      <c r="C4" s="1"/>
      <c r="D4" s="1"/>
      <c r="E4" s="1"/>
      <c r="F4" s="1"/>
      <c r="G4" s="1"/>
      <c r="H4" s="1"/>
      <c r="I4" s="1"/>
      <c r="J4" s="1"/>
      <c r="K4" s="1"/>
      <c r="L4" s="1"/>
      <c r="M4" s="1"/>
      <c r="N4" s="1"/>
      <c r="O4" s="1"/>
      <c r="P4" s="1"/>
    </row>
    <row r="5" customFormat="false" ht="15" hidden="false" customHeight="false" outlineLevel="0" collapsed="false">
      <c r="A5" s="1"/>
      <c r="B5" s="1"/>
      <c r="C5" s="1"/>
      <c r="D5" s="1"/>
      <c r="E5" s="1"/>
      <c r="F5" s="1"/>
      <c r="G5" s="1"/>
      <c r="H5" s="1"/>
      <c r="I5" s="1"/>
      <c r="J5" s="1"/>
      <c r="K5" s="1"/>
      <c r="L5" s="1"/>
      <c r="M5" s="1"/>
      <c r="N5" s="1"/>
      <c r="O5" s="1"/>
      <c r="P5" s="1"/>
    </row>
    <row r="6" customFormat="false" ht="33.75" hidden="false" customHeight="true" outlineLevel="0" collapsed="false">
      <c r="A6" s="1"/>
      <c r="B6" s="7" t="s">
        <v>54</v>
      </c>
      <c r="C6" s="7" t="s">
        <v>39</v>
      </c>
      <c r="D6" s="7" t="s">
        <v>68</v>
      </c>
      <c r="E6" s="7" t="s">
        <v>69</v>
      </c>
      <c r="F6" s="7" t="s">
        <v>70</v>
      </c>
      <c r="G6" s="7" t="s">
        <v>46</v>
      </c>
      <c r="H6" s="7" t="s">
        <v>71</v>
      </c>
      <c r="I6" s="7" t="s">
        <v>72</v>
      </c>
      <c r="J6" s="7" t="s">
        <v>73</v>
      </c>
      <c r="K6" s="7" t="s">
        <v>74</v>
      </c>
      <c r="L6" s="7" t="s">
        <v>75</v>
      </c>
      <c r="M6" s="7" t="s">
        <v>76</v>
      </c>
      <c r="N6" s="7" t="s">
        <v>77</v>
      </c>
      <c r="O6" s="1"/>
      <c r="P6" s="1"/>
    </row>
    <row r="7" customFormat="false" ht="15" hidden="false" customHeight="false" outlineLevel="0" collapsed="false">
      <c r="A7" s="1"/>
      <c r="B7" s="10" t="s">
        <v>61</v>
      </c>
      <c r="C7" s="12" t="str">
        <f aca="false">IFERROR(INDEX(Productos!$D$7:$D$406,MATCH(B7,Productos!$B$7:$B$406,0)),"")</f>
        <v>Producto de ejemplo (borrar)</v>
      </c>
      <c r="D7" s="12" t="str">
        <f aca="false">IFERROR(IF(INDEX(Landings!$G$7:$G$306,MATCH(INDEX(Productos!$C$7:$C$406,MATCH(B7,Productos!$B$7:$B$406,0)),Landings!$B$7:$B$306,0))="Sí","Sí","No"),"")</f>
        <v>Sí</v>
      </c>
      <c r="E7" s="12" t="str">
        <f aca="false">IFERROR(INDEX(Productos!$I$7:$I$406,MATCH(B7,Productos!$B$7:$B$406,0)),"")</f>
        <v>Sí</v>
      </c>
      <c r="F7" s="12" t="str">
        <f aca="false">IFERROR(INDEX(Productos!$J$7:$J$406,MATCH(B7,Productos!$B$7:$B$406,0)),"")</f>
        <v>Sí</v>
      </c>
      <c r="G7" s="22" t="n">
        <f aca="false">IFERROR(INDEX(Productos!$K$7:$K$406,MATCH(B7,Productos!$B$7:$B$406,0)),"")</f>
        <v>1</v>
      </c>
      <c r="H7" s="10"/>
      <c r="I7" s="10"/>
      <c r="J7" s="10"/>
      <c r="K7" s="10"/>
      <c r="L7" s="23" t="n">
        <f aca="false">IF(B7="","",COUNTIF(D7:F7,"Sí")+IF(G7="",0,IF(G7&lt;=5,1,0))+COUNTIF(H7:K7,"Sí"))</f>
        <v>4</v>
      </c>
      <c r="M7" s="24" t="str">
        <f aca="false">IF(B7="","",IF(L7=8,"VALIDAR",IF(L7&gt;=6,"OBSERVAR","DESCARTAR")))</f>
        <v>DESCARTAR</v>
      </c>
      <c r="N7" s="10"/>
      <c r="O7" s="1"/>
      <c r="P7" s="1"/>
    </row>
    <row r="8" customFormat="false" ht="15" hidden="false" customHeight="false" outlineLevel="0" collapsed="false">
      <c r="A8" s="1"/>
      <c r="B8" s="15"/>
      <c r="C8" s="17" t="n">
        <f aca="false">IFERROR(INDEX(Productos!$D$7:$D$406,MATCH(B8,Productos!$B$7:$B$406,0)),"")</f>
        <v>0</v>
      </c>
      <c r="D8" s="17" t="str">
        <f aca="false">IFERROR(IF(INDEX(Landings!$G$7:$G$306,MATCH(INDEX(Productos!$C$7:$C$406,MATCH(B8,Productos!$B$7:$B$406,0)),Landings!$B$7:$B$306,0))="Sí","Sí","No"),"")</f>
        <v>No</v>
      </c>
      <c r="E8" s="17" t="str">
        <f aca="false">IFERROR(INDEX(Productos!$I$7:$I$406,MATCH(B8,Productos!$B$7:$B$406,0)),"")</f>
        <v/>
      </c>
      <c r="F8" s="17" t="n">
        <f aca="false">IFERROR(INDEX(Productos!$J$7:$J$406,MATCH(B8,Productos!$B$7:$B$406,0)),"")</f>
        <v>0</v>
      </c>
      <c r="G8" s="25" t="str">
        <f aca="false">IFERROR(INDEX(Productos!$K$7:$K$406,MATCH(B8,Productos!$B$7:$B$406,0)),"")</f>
        <v/>
      </c>
      <c r="H8" s="15"/>
      <c r="I8" s="15"/>
      <c r="J8" s="15"/>
      <c r="K8" s="15"/>
      <c r="L8" s="26" t="str">
        <f aca="false">IF(B8="","",COUNTIF(D8:F8,"Sí")+IF(G8="",0,IF(G8&lt;=5,1,0))+COUNTIF(H8:K8,"Sí"))</f>
        <v/>
      </c>
      <c r="M8" s="27" t="str">
        <f aca="false">IF(B8="","",IF(L8=8,"VALIDAR",IF(L8&gt;=6,"OBSERVAR","DESCARTAR")))</f>
        <v/>
      </c>
      <c r="N8" s="15"/>
      <c r="O8" s="1"/>
      <c r="P8" s="1"/>
    </row>
    <row r="9" customFormat="false" ht="15" hidden="false" customHeight="false" outlineLevel="0" collapsed="false">
      <c r="A9" s="1"/>
      <c r="B9" s="10"/>
      <c r="C9" s="12" t="n">
        <f aca="false">IFERROR(INDEX(Productos!$D$7:$D$406,MATCH(B9,Productos!$B$7:$B$406,0)),"")</f>
        <v>0</v>
      </c>
      <c r="D9" s="12" t="str">
        <f aca="false">IFERROR(IF(INDEX(Landings!$G$7:$G$306,MATCH(INDEX(Productos!$C$7:$C$406,MATCH(B9,Productos!$B$7:$B$406,0)),Landings!$B$7:$B$306,0))="Sí","Sí","No"),"")</f>
        <v>No</v>
      </c>
      <c r="E9" s="12" t="str">
        <f aca="false">IFERROR(INDEX(Productos!$I$7:$I$406,MATCH(B9,Productos!$B$7:$B$406,0)),"")</f>
        <v/>
      </c>
      <c r="F9" s="12" t="n">
        <f aca="false">IFERROR(INDEX(Productos!$J$7:$J$406,MATCH(B9,Productos!$B$7:$B$406,0)),"")</f>
        <v>0</v>
      </c>
      <c r="G9" s="22" t="str">
        <f aca="false">IFERROR(INDEX(Productos!$K$7:$K$406,MATCH(B9,Productos!$B$7:$B$406,0)),"")</f>
        <v/>
      </c>
      <c r="H9" s="10"/>
      <c r="I9" s="10"/>
      <c r="J9" s="10"/>
      <c r="K9" s="10"/>
      <c r="L9" s="23" t="str">
        <f aca="false">IF(B9="","",COUNTIF(D9:F9,"Sí")+IF(G9="",0,IF(G9&lt;=5,1,0))+COUNTIF(H9:K9,"Sí"))</f>
        <v/>
      </c>
      <c r="M9" s="24" t="str">
        <f aca="false">IF(B9="","",IF(L9=8,"VALIDAR",IF(L9&gt;=6,"OBSERVAR","DESCARTAR")))</f>
        <v/>
      </c>
      <c r="N9" s="10"/>
      <c r="O9" s="1"/>
      <c r="P9" s="1"/>
    </row>
    <row r="10" customFormat="false" ht="15" hidden="false" customHeight="false" outlineLevel="0" collapsed="false">
      <c r="A10" s="1"/>
      <c r="B10" s="15"/>
      <c r="C10" s="17" t="n">
        <f aca="false">IFERROR(INDEX(Productos!$D$7:$D$406,MATCH(B10,Productos!$B$7:$B$406,0)),"")</f>
        <v>0</v>
      </c>
      <c r="D10" s="17" t="str">
        <f aca="false">IFERROR(IF(INDEX(Landings!$G$7:$G$306,MATCH(INDEX(Productos!$C$7:$C$406,MATCH(B10,Productos!$B$7:$B$406,0)),Landings!$B$7:$B$306,0))="Sí","Sí","No"),"")</f>
        <v>No</v>
      </c>
      <c r="E10" s="17" t="str">
        <f aca="false">IFERROR(INDEX(Productos!$I$7:$I$406,MATCH(B10,Productos!$B$7:$B$406,0)),"")</f>
        <v/>
      </c>
      <c r="F10" s="17" t="n">
        <f aca="false">IFERROR(INDEX(Productos!$J$7:$J$406,MATCH(B10,Productos!$B$7:$B$406,0)),"")</f>
        <v>0</v>
      </c>
      <c r="G10" s="25" t="str">
        <f aca="false">IFERROR(INDEX(Productos!$K$7:$K$406,MATCH(B10,Productos!$B$7:$B$406,0)),"")</f>
        <v/>
      </c>
      <c r="H10" s="15"/>
      <c r="I10" s="15"/>
      <c r="J10" s="15"/>
      <c r="K10" s="15"/>
      <c r="L10" s="26" t="str">
        <f aca="false">IF(B10="","",COUNTIF(D10:F10,"Sí")+IF(G10="",0,IF(G10&lt;=5,1,0))+COUNTIF(H10:K10,"Sí"))</f>
        <v/>
      </c>
      <c r="M10" s="27" t="str">
        <f aca="false">IF(B10="","",IF(L10=8,"VALIDAR",IF(L10&gt;=6,"OBSERVAR","DESCARTAR")))</f>
        <v/>
      </c>
      <c r="N10" s="15"/>
      <c r="O10" s="1"/>
      <c r="P10" s="1"/>
    </row>
    <row r="11" customFormat="false" ht="15" hidden="false" customHeight="false" outlineLevel="0" collapsed="false">
      <c r="A11" s="1"/>
      <c r="B11" s="10"/>
      <c r="C11" s="12" t="n">
        <f aca="false">IFERROR(INDEX(Productos!$D$7:$D$406,MATCH(B11,Productos!$B$7:$B$406,0)),"")</f>
        <v>0</v>
      </c>
      <c r="D11" s="12" t="str">
        <f aca="false">IFERROR(IF(INDEX(Landings!$G$7:$G$306,MATCH(INDEX(Productos!$C$7:$C$406,MATCH(B11,Productos!$B$7:$B$406,0)),Landings!$B$7:$B$306,0))="Sí","Sí","No"),"")</f>
        <v>No</v>
      </c>
      <c r="E11" s="12" t="str">
        <f aca="false">IFERROR(INDEX(Productos!$I$7:$I$406,MATCH(B11,Productos!$B$7:$B$406,0)),"")</f>
        <v/>
      </c>
      <c r="F11" s="12" t="n">
        <f aca="false">IFERROR(INDEX(Productos!$J$7:$J$406,MATCH(B11,Productos!$B$7:$B$406,0)),"")</f>
        <v>0</v>
      </c>
      <c r="G11" s="22" t="str">
        <f aca="false">IFERROR(INDEX(Productos!$K$7:$K$406,MATCH(B11,Productos!$B$7:$B$406,0)),"")</f>
        <v/>
      </c>
      <c r="H11" s="10"/>
      <c r="I11" s="10"/>
      <c r="J11" s="10"/>
      <c r="K11" s="10"/>
      <c r="L11" s="23" t="str">
        <f aca="false">IF(B11="","",COUNTIF(D11:F11,"Sí")+IF(G11="",0,IF(G11&lt;=5,1,0))+COUNTIF(H11:K11,"Sí"))</f>
        <v/>
      </c>
      <c r="M11" s="24" t="str">
        <f aca="false">IF(B11="","",IF(L11=8,"VALIDAR",IF(L11&gt;=6,"OBSERVAR","DESCARTAR")))</f>
        <v/>
      </c>
      <c r="N11" s="10"/>
      <c r="O11" s="1"/>
      <c r="P11" s="1"/>
    </row>
    <row r="12" customFormat="false" ht="15" hidden="false" customHeight="false" outlineLevel="0" collapsed="false">
      <c r="A12" s="1"/>
      <c r="B12" s="15"/>
      <c r="C12" s="17" t="n">
        <f aca="false">IFERROR(INDEX(Productos!$D$7:$D$406,MATCH(B12,Productos!$B$7:$B$406,0)),"")</f>
        <v>0</v>
      </c>
      <c r="D12" s="17" t="str">
        <f aca="false">IFERROR(IF(INDEX(Landings!$G$7:$G$306,MATCH(INDEX(Productos!$C$7:$C$406,MATCH(B12,Productos!$B$7:$B$406,0)),Landings!$B$7:$B$306,0))="Sí","Sí","No"),"")</f>
        <v>No</v>
      </c>
      <c r="E12" s="17" t="str">
        <f aca="false">IFERROR(INDEX(Productos!$I$7:$I$406,MATCH(B12,Productos!$B$7:$B$406,0)),"")</f>
        <v/>
      </c>
      <c r="F12" s="17" t="n">
        <f aca="false">IFERROR(INDEX(Productos!$J$7:$J$406,MATCH(B12,Productos!$B$7:$B$406,0)),"")</f>
        <v>0</v>
      </c>
      <c r="G12" s="25" t="str">
        <f aca="false">IFERROR(INDEX(Productos!$K$7:$K$406,MATCH(B12,Productos!$B$7:$B$406,0)),"")</f>
        <v/>
      </c>
      <c r="H12" s="15"/>
      <c r="I12" s="15"/>
      <c r="J12" s="15"/>
      <c r="K12" s="15"/>
      <c r="L12" s="26" t="str">
        <f aca="false">IF(B12="","",COUNTIF(D12:F12,"Sí")+IF(G12="",0,IF(G12&lt;=5,1,0))+COUNTIF(H12:K12,"Sí"))</f>
        <v/>
      </c>
      <c r="M12" s="27" t="str">
        <f aca="false">IF(B12="","",IF(L12=8,"VALIDAR",IF(L12&gt;=6,"OBSERVAR","DESCARTAR")))</f>
        <v/>
      </c>
      <c r="N12" s="15"/>
      <c r="O12" s="1"/>
      <c r="P12" s="1"/>
    </row>
    <row r="13" customFormat="false" ht="15" hidden="false" customHeight="false" outlineLevel="0" collapsed="false">
      <c r="A13" s="1"/>
      <c r="B13" s="10"/>
      <c r="C13" s="12" t="n">
        <f aca="false">IFERROR(INDEX(Productos!$D$7:$D$406,MATCH(B13,Productos!$B$7:$B$406,0)),"")</f>
        <v>0</v>
      </c>
      <c r="D13" s="12" t="str">
        <f aca="false">IFERROR(IF(INDEX(Landings!$G$7:$G$306,MATCH(INDEX(Productos!$C$7:$C$406,MATCH(B13,Productos!$B$7:$B$406,0)),Landings!$B$7:$B$306,0))="Sí","Sí","No"),"")</f>
        <v>No</v>
      </c>
      <c r="E13" s="12" t="str">
        <f aca="false">IFERROR(INDEX(Productos!$I$7:$I$406,MATCH(B13,Productos!$B$7:$B$406,0)),"")</f>
        <v/>
      </c>
      <c r="F13" s="12" t="n">
        <f aca="false">IFERROR(INDEX(Productos!$J$7:$J$406,MATCH(B13,Productos!$B$7:$B$406,0)),"")</f>
        <v>0</v>
      </c>
      <c r="G13" s="22" t="str">
        <f aca="false">IFERROR(INDEX(Productos!$K$7:$K$406,MATCH(B13,Productos!$B$7:$B$406,0)),"")</f>
        <v/>
      </c>
      <c r="H13" s="10"/>
      <c r="I13" s="10"/>
      <c r="J13" s="10"/>
      <c r="K13" s="10"/>
      <c r="L13" s="23" t="str">
        <f aca="false">IF(B13="","",COUNTIF(D13:F13,"Sí")+IF(G13="",0,IF(G13&lt;=5,1,0))+COUNTIF(H13:K13,"Sí"))</f>
        <v/>
      </c>
      <c r="M13" s="24" t="str">
        <f aca="false">IF(B13="","",IF(L13=8,"VALIDAR",IF(L13&gt;=6,"OBSERVAR","DESCARTAR")))</f>
        <v/>
      </c>
      <c r="N13" s="10"/>
      <c r="O13" s="1"/>
      <c r="P13" s="1"/>
    </row>
    <row r="14" customFormat="false" ht="15" hidden="false" customHeight="false" outlineLevel="0" collapsed="false">
      <c r="A14" s="1"/>
      <c r="B14" s="15"/>
      <c r="C14" s="17" t="n">
        <f aca="false">IFERROR(INDEX(Productos!$D$7:$D$406,MATCH(B14,Productos!$B$7:$B$406,0)),"")</f>
        <v>0</v>
      </c>
      <c r="D14" s="17" t="str">
        <f aca="false">IFERROR(IF(INDEX(Landings!$G$7:$G$306,MATCH(INDEX(Productos!$C$7:$C$406,MATCH(B14,Productos!$B$7:$B$406,0)),Landings!$B$7:$B$306,0))="Sí","Sí","No"),"")</f>
        <v>No</v>
      </c>
      <c r="E14" s="17" t="str">
        <f aca="false">IFERROR(INDEX(Productos!$I$7:$I$406,MATCH(B14,Productos!$B$7:$B$406,0)),"")</f>
        <v/>
      </c>
      <c r="F14" s="17" t="n">
        <f aca="false">IFERROR(INDEX(Productos!$J$7:$J$406,MATCH(B14,Productos!$B$7:$B$406,0)),"")</f>
        <v>0</v>
      </c>
      <c r="G14" s="25" t="str">
        <f aca="false">IFERROR(INDEX(Productos!$K$7:$K$406,MATCH(B14,Productos!$B$7:$B$406,0)),"")</f>
        <v/>
      </c>
      <c r="H14" s="15"/>
      <c r="I14" s="15"/>
      <c r="J14" s="15"/>
      <c r="K14" s="15"/>
      <c r="L14" s="26" t="str">
        <f aca="false">IF(B14="","",COUNTIF(D14:F14,"Sí")+IF(G14="",0,IF(G14&lt;=5,1,0))+COUNTIF(H14:K14,"Sí"))</f>
        <v/>
      </c>
      <c r="M14" s="27" t="str">
        <f aca="false">IF(B14="","",IF(L14=8,"VALIDAR",IF(L14&gt;=6,"OBSERVAR","DESCARTAR")))</f>
        <v/>
      </c>
      <c r="N14" s="15"/>
      <c r="O14" s="1"/>
      <c r="P14" s="1"/>
    </row>
    <row r="15" customFormat="false" ht="15" hidden="false" customHeight="false" outlineLevel="0" collapsed="false">
      <c r="A15" s="1"/>
      <c r="B15" s="10"/>
      <c r="C15" s="12" t="n">
        <f aca="false">IFERROR(INDEX(Productos!$D$7:$D$406,MATCH(B15,Productos!$B$7:$B$406,0)),"")</f>
        <v>0</v>
      </c>
      <c r="D15" s="12" t="str">
        <f aca="false">IFERROR(IF(INDEX(Landings!$G$7:$G$306,MATCH(INDEX(Productos!$C$7:$C$406,MATCH(B15,Productos!$B$7:$B$406,0)),Landings!$B$7:$B$306,0))="Sí","Sí","No"),"")</f>
        <v>No</v>
      </c>
      <c r="E15" s="12" t="str">
        <f aca="false">IFERROR(INDEX(Productos!$I$7:$I$406,MATCH(B15,Productos!$B$7:$B$406,0)),"")</f>
        <v/>
      </c>
      <c r="F15" s="12" t="n">
        <f aca="false">IFERROR(INDEX(Productos!$J$7:$J$406,MATCH(B15,Productos!$B$7:$B$406,0)),"")</f>
        <v>0</v>
      </c>
      <c r="G15" s="22" t="str">
        <f aca="false">IFERROR(INDEX(Productos!$K$7:$K$406,MATCH(B15,Productos!$B$7:$B$406,0)),"")</f>
        <v/>
      </c>
      <c r="H15" s="10"/>
      <c r="I15" s="10"/>
      <c r="J15" s="10"/>
      <c r="K15" s="10"/>
      <c r="L15" s="23" t="str">
        <f aca="false">IF(B15="","",COUNTIF(D15:F15,"Sí")+IF(G15="",0,IF(G15&lt;=5,1,0))+COUNTIF(H15:K15,"Sí"))</f>
        <v/>
      </c>
      <c r="M15" s="24" t="str">
        <f aca="false">IF(B15="","",IF(L15=8,"VALIDAR",IF(L15&gt;=6,"OBSERVAR","DESCARTAR")))</f>
        <v/>
      </c>
      <c r="N15" s="10"/>
      <c r="O15" s="1"/>
      <c r="P15" s="1"/>
    </row>
    <row r="16" customFormat="false" ht="15" hidden="false" customHeight="false" outlineLevel="0" collapsed="false">
      <c r="A16" s="1"/>
      <c r="B16" s="15"/>
      <c r="C16" s="17" t="n">
        <f aca="false">IFERROR(INDEX(Productos!$D$7:$D$406,MATCH(B16,Productos!$B$7:$B$406,0)),"")</f>
        <v>0</v>
      </c>
      <c r="D16" s="17" t="str">
        <f aca="false">IFERROR(IF(INDEX(Landings!$G$7:$G$306,MATCH(INDEX(Productos!$C$7:$C$406,MATCH(B16,Productos!$B$7:$B$406,0)),Landings!$B$7:$B$306,0))="Sí","Sí","No"),"")</f>
        <v>No</v>
      </c>
      <c r="E16" s="17" t="str">
        <f aca="false">IFERROR(INDEX(Productos!$I$7:$I$406,MATCH(B16,Productos!$B$7:$B$406,0)),"")</f>
        <v/>
      </c>
      <c r="F16" s="17" t="n">
        <f aca="false">IFERROR(INDEX(Productos!$J$7:$J$406,MATCH(B16,Productos!$B$7:$B$406,0)),"")</f>
        <v>0</v>
      </c>
      <c r="G16" s="25" t="str">
        <f aca="false">IFERROR(INDEX(Productos!$K$7:$K$406,MATCH(B16,Productos!$B$7:$B$406,0)),"")</f>
        <v/>
      </c>
      <c r="H16" s="15"/>
      <c r="I16" s="15"/>
      <c r="J16" s="15"/>
      <c r="K16" s="15"/>
      <c r="L16" s="26" t="str">
        <f aca="false">IF(B16="","",COUNTIF(D16:F16,"Sí")+IF(G16="",0,IF(G16&lt;=5,1,0))+COUNTIF(H16:K16,"Sí"))</f>
        <v/>
      </c>
      <c r="M16" s="27" t="str">
        <f aca="false">IF(B16="","",IF(L16=8,"VALIDAR",IF(L16&gt;=6,"OBSERVAR","DESCARTAR")))</f>
        <v/>
      </c>
      <c r="N16" s="15"/>
      <c r="O16" s="1"/>
      <c r="P16" s="1"/>
    </row>
    <row r="17" customFormat="false" ht="15" hidden="false" customHeight="false" outlineLevel="0" collapsed="false">
      <c r="A17" s="1"/>
      <c r="B17" s="10"/>
      <c r="C17" s="12" t="n">
        <f aca="false">IFERROR(INDEX(Productos!$D$7:$D$406,MATCH(B17,Productos!$B$7:$B$406,0)),"")</f>
        <v>0</v>
      </c>
      <c r="D17" s="12" t="str">
        <f aca="false">IFERROR(IF(INDEX(Landings!$G$7:$G$306,MATCH(INDEX(Productos!$C$7:$C$406,MATCH(B17,Productos!$B$7:$B$406,0)),Landings!$B$7:$B$306,0))="Sí","Sí","No"),"")</f>
        <v>No</v>
      </c>
      <c r="E17" s="12" t="str">
        <f aca="false">IFERROR(INDEX(Productos!$I$7:$I$406,MATCH(B17,Productos!$B$7:$B$406,0)),"")</f>
        <v/>
      </c>
      <c r="F17" s="12" t="n">
        <f aca="false">IFERROR(INDEX(Productos!$J$7:$J$406,MATCH(B17,Productos!$B$7:$B$406,0)),"")</f>
        <v>0</v>
      </c>
      <c r="G17" s="22" t="str">
        <f aca="false">IFERROR(INDEX(Productos!$K$7:$K$406,MATCH(B17,Productos!$B$7:$B$406,0)),"")</f>
        <v/>
      </c>
      <c r="H17" s="10"/>
      <c r="I17" s="10"/>
      <c r="J17" s="10"/>
      <c r="K17" s="10"/>
      <c r="L17" s="23" t="str">
        <f aca="false">IF(B17="","",COUNTIF(D17:F17,"Sí")+IF(G17="",0,IF(G17&lt;=5,1,0))+COUNTIF(H17:K17,"Sí"))</f>
        <v/>
      </c>
      <c r="M17" s="24" t="str">
        <f aca="false">IF(B17="","",IF(L17=8,"VALIDAR",IF(L17&gt;=6,"OBSERVAR","DESCARTAR")))</f>
        <v/>
      </c>
      <c r="N17" s="10"/>
      <c r="O17" s="1"/>
      <c r="P17" s="1"/>
    </row>
    <row r="18" customFormat="false" ht="15" hidden="false" customHeight="false" outlineLevel="0" collapsed="false">
      <c r="A18" s="1"/>
      <c r="B18" s="15"/>
      <c r="C18" s="17" t="n">
        <f aca="false">IFERROR(INDEX(Productos!$D$7:$D$406,MATCH(B18,Productos!$B$7:$B$406,0)),"")</f>
        <v>0</v>
      </c>
      <c r="D18" s="17" t="str">
        <f aca="false">IFERROR(IF(INDEX(Landings!$G$7:$G$306,MATCH(INDEX(Productos!$C$7:$C$406,MATCH(B18,Productos!$B$7:$B$406,0)),Landings!$B$7:$B$306,0))="Sí","Sí","No"),"")</f>
        <v>No</v>
      </c>
      <c r="E18" s="17" t="str">
        <f aca="false">IFERROR(INDEX(Productos!$I$7:$I$406,MATCH(B18,Productos!$B$7:$B$406,0)),"")</f>
        <v/>
      </c>
      <c r="F18" s="17" t="n">
        <f aca="false">IFERROR(INDEX(Productos!$J$7:$J$406,MATCH(B18,Productos!$B$7:$B$406,0)),"")</f>
        <v>0</v>
      </c>
      <c r="G18" s="25" t="str">
        <f aca="false">IFERROR(INDEX(Productos!$K$7:$K$406,MATCH(B18,Productos!$B$7:$B$406,0)),"")</f>
        <v/>
      </c>
      <c r="H18" s="15"/>
      <c r="I18" s="15"/>
      <c r="J18" s="15"/>
      <c r="K18" s="15"/>
      <c r="L18" s="26" t="str">
        <f aca="false">IF(B18="","",COUNTIF(D18:F18,"Sí")+IF(G18="",0,IF(G18&lt;=5,1,0))+COUNTIF(H18:K18,"Sí"))</f>
        <v/>
      </c>
      <c r="M18" s="27" t="str">
        <f aca="false">IF(B18="","",IF(L18=8,"VALIDAR",IF(L18&gt;=6,"OBSERVAR","DESCARTAR")))</f>
        <v/>
      </c>
      <c r="N18" s="15"/>
      <c r="O18" s="1"/>
      <c r="P18" s="1"/>
    </row>
    <row r="19" customFormat="false" ht="15" hidden="false" customHeight="false" outlineLevel="0" collapsed="false">
      <c r="A19" s="1"/>
      <c r="B19" s="10"/>
      <c r="C19" s="12" t="n">
        <f aca="false">IFERROR(INDEX(Productos!$D$7:$D$406,MATCH(B19,Productos!$B$7:$B$406,0)),"")</f>
        <v>0</v>
      </c>
      <c r="D19" s="12" t="str">
        <f aca="false">IFERROR(IF(INDEX(Landings!$G$7:$G$306,MATCH(INDEX(Productos!$C$7:$C$406,MATCH(B19,Productos!$B$7:$B$406,0)),Landings!$B$7:$B$306,0))="Sí","Sí","No"),"")</f>
        <v>No</v>
      </c>
      <c r="E19" s="12" t="str">
        <f aca="false">IFERROR(INDEX(Productos!$I$7:$I$406,MATCH(B19,Productos!$B$7:$B$406,0)),"")</f>
        <v/>
      </c>
      <c r="F19" s="12" t="n">
        <f aca="false">IFERROR(INDEX(Productos!$J$7:$J$406,MATCH(B19,Productos!$B$7:$B$406,0)),"")</f>
        <v>0</v>
      </c>
      <c r="G19" s="22" t="str">
        <f aca="false">IFERROR(INDEX(Productos!$K$7:$K$406,MATCH(B19,Productos!$B$7:$B$406,0)),"")</f>
        <v/>
      </c>
      <c r="H19" s="10"/>
      <c r="I19" s="10"/>
      <c r="J19" s="10"/>
      <c r="K19" s="10"/>
      <c r="L19" s="23" t="str">
        <f aca="false">IF(B19="","",COUNTIF(D19:F19,"Sí")+IF(G19="",0,IF(G19&lt;=5,1,0))+COUNTIF(H19:K19,"Sí"))</f>
        <v/>
      </c>
      <c r="M19" s="24" t="str">
        <f aca="false">IF(B19="","",IF(L19=8,"VALIDAR",IF(L19&gt;=6,"OBSERVAR","DESCARTAR")))</f>
        <v/>
      </c>
      <c r="N19" s="10"/>
      <c r="O19" s="1"/>
      <c r="P19" s="1"/>
    </row>
    <row r="20" customFormat="false" ht="15" hidden="false" customHeight="false" outlineLevel="0" collapsed="false">
      <c r="A20" s="1"/>
      <c r="B20" s="15"/>
      <c r="C20" s="17" t="n">
        <f aca="false">IFERROR(INDEX(Productos!$D$7:$D$406,MATCH(B20,Productos!$B$7:$B$406,0)),"")</f>
        <v>0</v>
      </c>
      <c r="D20" s="17" t="str">
        <f aca="false">IFERROR(IF(INDEX(Landings!$G$7:$G$306,MATCH(INDEX(Productos!$C$7:$C$406,MATCH(B20,Productos!$B$7:$B$406,0)),Landings!$B$7:$B$306,0))="Sí","Sí","No"),"")</f>
        <v>No</v>
      </c>
      <c r="E20" s="17" t="str">
        <f aca="false">IFERROR(INDEX(Productos!$I$7:$I$406,MATCH(B20,Productos!$B$7:$B$406,0)),"")</f>
        <v/>
      </c>
      <c r="F20" s="17" t="n">
        <f aca="false">IFERROR(INDEX(Productos!$J$7:$J$406,MATCH(B20,Productos!$B$7:$B$406,0)),"")</f>
        <v>0</v>
      </c>
      <c r="G20" s="25" t="str">
        <f aca="false">IFERROR(INDEX(Productos!$K$7:$K$406,MATCH(B20,Productos!$B$7:$B$406,0)),"")</f>
        <v/>
      </c>
      <c r="H20" s="15"/>
      <c r="I20" s="15"/>
      <c r="J20" s="15"/>
      <c r="K20" s="15"/>
      <c r="L20" s="26" t="str">
        <f aca="false">IF(B20="","",COUNTIF(D20:F20,"Sí")+IF(G20="",0,IF(G20&lt;=5,1,0))+COUNTIF(H20:K20,"Sí"))</f>
        <v/>
      </c>
      <c r="M20" s="27" t="str">
        <f aca="false">IF(B20="","",IF(L20=8,"VALIDAR",IF(L20&gt;=6,"OBSERVAR","DESCARTAR")))</f>
        <v/>
      </c>
      <c r="N20" s="15"/>
      <c r="O20" s="1"/>
      <c r="P20" s="1"/>
    </row>
    <row r="21" customFormat="false" ht="15" hidden="false" customHeight="false" outlineLevel="0" collapsed="false">
      <c r="A21" s="1"/>
      <c r="B21" s="10"/>
      <c r="C21" s="12" t="n">
        <f aca="false">IFERROR(INDEX(Productos!$D$7:$D$406,MATCH(B21,Productos!$B$7:$B$406,0)),"")</f>
        <v>0</v>
      </c>
      <c r="D21" s="12" t="str">
        <f aca="false">IFERROR(IF(INDEX(Landings!$G$7:$G$306,MATCH(INDEX(Productos!$C$7:$C$406,MATCH(B21,Productos!$B$7:$B$406,0)),Landings!$B$7:$B$306,0))="Sí","Sí","No"),"")</f>
        <v>No</v>
      </c>
      <c r="E21" s="12" t="str">
        <f aca="false">IFERROR(INDEX(Productos!$I$7:$I$406,MATCH(B21,Productos!$B$7:$B$406,0)),"")</f>
        <v/>
      </c>
      <c r="F21" s="12" t="n">
        <f aca="false">IFERROR(INDEX(Productos!$J$7:$J$406,MATCH(B21,Productos!$B$7:$B$406,0)),"")</f>
        <v>0</v>
      </c>
      <c r="G21" s="22" t="str">
        <f aca="false">IFERROR(INDEX(Productos!$K$7:$K$406,MATCH(B21,Productos!$B$7:$B$406,0)),"")</f>
        <v/>
      </c>
      <c r="H21" s="10"/>
      <c r="I21" s="10"/>
      <c r="J21" s="10"/>
      <c r="K21" s="10"/>
      <c r="L21" s="23" t="str">
        <f aca="false">IF(B21="","",COUNTIF(D21:F21,"Sí")+IF(G21="",0,IF(G21&lt;=5,1,0))+COUNTIF(H21:K21,"Sí"))</f>
        <v/>
      </c>
      <c r="M21" s="24" t="str">
        <f aca="false">IF(B21="","",IF(L21=8,"VALIDAR",IF(L21&gt;=6,"OBSERVAR","DESCARTAR")))</f>
        <v/>
      </c>
      <c r="N21" s="10"/>
      <c r="O21" s="1"/>
      <c r="P21" s="1"/>
    </row>
    <row r="22" customFormat="false" ht="15" hidden="false" customHeight="false" outlineLevel="0" collapsed="false">
      <c r="A22" s="1"/>
      <c r="B22" s="15"/>
      <c r="C22" s="17" t="n">
        <f aca="false">IFERROR(INDEX(Productos!$D$7:$D$406,MATCH(B22,Productos!$B$7:$B$406,0)),"")</f>
        <v>0</v>
      </c>
      <c r="D22" s="17" t="str">
        <f aca="false">IFERROR(IF(INDEX(Landings!$G$7:$G$306,MATCH(INDEX(Productos!$C$7:$C$406,MATCH(B22,Productos!$B$7:$B$406,0)),Landings!$B$7:$B$306,0))="Sí","Sí","No"),"")</f>
        <v>No</v>
      </c>
      <c r="E22" s="17" t="str">
        <f aca="false">IFERROR(INDEX(Productos!$I$7:$I$406,MATCH(B22,Productos!$B$7:$B$406,0)),"")</f>
        <v/>
      </c>
      <c r="F22" s="17" t="n">
        <f aca="false">IFERROR(INDEX(Productos!$J$7:$J$406,MATCH(B22,Productos!$B$7:$B$406,0)),"")</f>
        <v>0</v>
      </c>
      <c r="G22" s="25" t="str">
        <f aca="false">IFERROR(INDEX(Productos!$K$7:$K$406,MATCH(B22,Productos!$B$7:$B$406,0)),"")</f>
        <v/>
      </c>
      <c r="H22" s="15"/>
      <c r="I22" s="15"/>
      <c r="J22" s="15"/>
      <c r="K22" s="15"/>
      <c r="L22" s="26" t="str">
        <f aca="false">IF(B22="","",COUNTIF(D22:F22,"Sí")+IF(G22="",0,IF(G22&lt;=5,1,0))+COUNTIF(H22:K22,"Sí"))</f>
        <v/>
      </c>
      <c r="M22" s="27" t="str">
        <f aca="false">IF(B22="","",IF(L22=8,"VALIDAR",IF(L22&gt;=6,"OBSERVAR","DESCARTAR")))</f>
        <v/>
      </c>
      <c r="N22" s="15"/>
      <c r="O22" s="1"/>
      <c r="P22" s="1"/>
    </row>
    <row r="23" customFormat="false" ht="15" hidden="false" customHeight="false" outlineLevel="0" collapsed="false">
      <c r="A23" s="1"/>
      <c r="B23" s="10"/>
      <c r="C23" s="12" t="n">
        <f aca="false">IFERROR(INDEX(Productos!$D$7:$D$406,MATCH(B23,Productos!$B$7:$B$406,0)),"")</f>
        <v>0</v>
      </c>
      <c r="D23" s="12" t="str">
        <f aca="false">IFERROR(IF(INDEX(Landings!$G$7:$G$306,MATCH(INDEX(Productos!$C$7:$C$406,MATCH(B23,Productos!$B$7:$B$406,0)),Landings!$B$7:$B$306,0))="Sí","Sí","No"),"")</f>
        <v>No</v>
      </c>
      <c r="E23" s="12" t="str">
        <f aca="false">IFERROR(INDEX(Productos!$I$7:$I$406,MATCH(B23,Productos!$B$7:$B$406,0)),"")</f>
        <v/>
      </c>
      <c r="F23" s="12" t="n">
        <f aca="false">IFERROR(INDEX(Productos!$J$7:$J$406,MATCH(B23,Productos!$B$7:$B$406,0)),"")</f>
        <v>0</v>
      </c>
      <c r="G23" s="22" t="str">
        <f aca="false">IFERROR(INDEX(Productos!$K$7:$K$406,MATCH(B23,Productos!$B$7:$B$406,0)),"")</f>
        <v/>
      </c>
      <c r="H23" s="10"/>
      <c r="I23" s="10"/>
      <c r="J23" s="10"/>
      <c r="K23" s="10"/>
      <c r="L23" s="23" t="str">
        <f aca="false">IF(B23="","",COUNTIF(D23:F23,"Sí")+IF(G23="",0,IF(G23&lt;=5,1,0))+COUNTIF(H23:K23,"Sí"))</f>
        <v/>
      </c>
      <c r="M23" s="24" t="str">
        <f aca="false">IF(B23="","",IF(L23=8,"VALIDAR",IF(L23&gt;=6,"OBSERVAR","DESCARTAR")))</f>
        <v/>
      </c>
      <c r="N23" s="10"/>
      <c r="O23" s="1"/>
      <c r="P23" s="1"/>
    </row>
    <row r="24" customFormat="false" ht="15" hidden="false" customHeight="false" outlineLevel="0" collapsed="false">
      <c r="A24" s="1"/>
      <c r="B24" s="15"/>
      <c r="C24" s="17" t="n">
        <f aca="false">IFERROR(INDEX(Productos!$D$7:$D$406,MATCH(B24,Productos!$B$7:$B$406,0)),"")</f>
        <v>0</v>
      </c>
      <c r="D24" s="17" t="str">
        <f aca="false">IFERROR(IF(INDEX(Landings!$G$7:$G$306,MATCH(INDEX(Productos!$C$7:$C$406,MATCH(B24,Productos!$B$7:$B$406,0)),Landings!$B$7:$B$306,0))="Sí","Sí","No"),"")</f>
        <v>No</v>
      </c>
      <c r="E24" s="17" t="str">
        <f aca="false">IFERROR(INDEX(Productos!$I$7:$I$406,MATCH(B24,Productos!$B$7:$B$406,0)),"")</f>
        <v/>
      </c>
      <c r="F24" s="17" t="n">
        <f aca="false">IFERROR(INDEX(Productos!$J$7:$J$406,MATCH(B24,Productos!$B$7:$B$406,0)),"")</f>
        <v>0</v>
      </c>
      <c r="G24" s="25" t="str">
        <f aca="false">IFERROR(INDEX(Productos!$K$7:$K$406,MATCH(B24,Productos!$B$7:$B$406,0)),"")</f>
        <v/>
      </c>
      <c r="H24" s="15"/>
      <c r="I24" s="15"/>
      <c r="J24" s="15"/>
      <c r="K24" s="15"/>
      <c r="L24" s="26" t="str">
        <f aca="false">IF(B24="","",COUNTIF(D24:F24,"Sí")+IF(G24="",0,IF(G24&lt;=5,1,0))+COUNTIF(H24:K24,"Sí"))</f>
        <v/>
      </c>
      <c r="M24" s="27" t="str">
        <f aca="false">IF(B24="","",IF(L24=8,"VALIDAR",IF(L24&gt;=6,"OBSERVAR","DESCARTAR")))</f>
        <v/>
      </c>
      <c r="N24" s="15"/>
      <c r="O24" s="1"/>
      <c r="P24" s="1"/>
    </row>
    <row r="25" customFormat="false" ht="15" hidden="false" customHeight="false" outlineLevel="0" collapsed="false">
      <c r="A25" s="1"/>
      <c r="B25" s="10"/>
      <c r="C25" s="12" t="n">
        <f aca="false">IFERROR(INDEX(Productos!$D$7:$D$406,MATCH(B25,Productos!$B$7:$B$406,0)),"")</f>
        <v>0</v>
      </c>
      <c r="D25" s="12" t="str">
        <f aca="false">IFERROR(IF(INDEX(Landings!$G$7:$G$306,MATCH(INDEX(Productos!$C$7:$C$406,MATCH(B25,Productos!$B$7:$B$406,0)),Landings!$B$7:$B$306,0))="Sí","Sí","No"),"")</f>
        <v>No</v>
      </c>
      <c r="E25" s="12" t="str">
        <f aca="false">IFERROR(INDEX(Productos!$I$7:$I$406,MATCH(B25,Productos!$B$7:$B$406,0)),"")</f>
        <v/>
      </c>
      <c r="F25" s="12" t="n">
        <f aca="false">IFERROR(INDEX(Productos!$J$7:$J$406,MATCH(B25,Productos!$B$7:$B$406,0)),"")</f>
        <v>0</v>
      </c>
      <c r="G25" s="22" t="str">
        <f aca="false">IFERROR(INDEX(Productos!$K$7:$K$406,MATCH(B25,Productos!$B$7:$B$406,0)),"")</f>
        <v/>
      </c>
      <c r="H25" s="10"/>
      <c r="I25" s="10"/>
      <c r="J25" s="10"/>
      <c r="K25" s="10"/>
      <c r="L25" s="23" t="str">
        <f aca="false">IF(B25="","",COUNTIF(D25:F25,"Sí")+IF(G25="",0,IF(G25&lt;=5,1,0))+COUNTIF(H25:K25,"Sí"))</f>
        <v/>
      </c>
      <c r="M25" s="24" t="str">
        <f aca="false">IF(B25="","",IF(L25=8,"VALIDAR",IF(L25&gt;=6,"OBSERVAR","DESCARTAR")))</f>
        <v/>
      </c>
      <c r="N25" s="10"/>
      <c r="O25" s="1"/>
      <c r="P25" s="1"/>
    </row>
    <row r="26" customFormat="false" ht="15" hidden="false" customHeight="false" outlineLevel="0" collapsed="false">
      <c r="A26" s="1"/>
      <c r="B26" s="15"/>
      <c r="C26" s="17" t="n">
        <f aca="false">IFERROR(INDEX(Productos!$D$7:$D$406,MATCH(B26,Productos!$B$7:$B$406,0)),"")</f>
        <v>0</v>
      </c>
      <c r="D26" s="17" t="str">
        <f aca="false">IFERROR(IF(INDEX(Landings!$G$7:$G$306,MATCH(INDEX(Productos!$C$7:$C$406,MATCH(B26,Productos!$B$7:$B$406,0)),Landings!$B$7:$B$306,0))="Sí","Sí","No"),"")</f>
        <v>No</v>
      </c>
      <c r="E26" s="17" t="str">
        <f aca="false">IFERROR(INDEX(Productos!$I$7:$I$406,MATCH(B26,Productos!$B$7:$B$406,0)),"")</f>
        <v/>
      </c>
      <c r="F26" s="17" t="n">
        <f aca="false">IFERROR(INDEX(Productos!$J$7:$J$406,MATCH(B26,Productos!$B$7:$B$406,0)),"")</f>
        <v>0</v>
      </c>
      <c r="G26" s="25" t="str">
        <f aca="false">IFERROR(INDEX(Productos!$K$7:$K$406,MATCH(B26,Productos!$B$7:$B$406,0)),"")</f>
        <v/>
      </c>
      <c r="H26" s="15"/>
      <c r="I26" s="15"/>
      <c r="J26" s="15"/>
      <c r="K26" s="15"/>
      <c r="L26" s="26" t="str">
        <f aca="false">IF(B26="","",COUNTIF(D26:F26,"Sí")+IF(G26="",0,IF(G26&lt;=5,1,0))+COUNTIF(H26:K26,"Sí"))</f>
        <v/>
      </c>
      <c r="M26" s="27" t="str">
        <f aca="false">IF(B26="","",IF(L26=8,"VALIDAR",IF(L26&gt;=6,"OBSERVAR","DESCARTAR")))</f>
        <v/>
      </c>
      <c r="N26" s="15"/>
      <c r="O26" s="1"/>
      <c r="P26" s="1"/>
    </row>
    <row r="27" customFormat="false" ht="15" hidden="false" customHeight="false" outlineLevel="0" collapsed="false">
      <c r="A27" s="1"/>
      <c r="B27" s="10"/>
      <c r="C27" s="12" t="n">
        <f aca="false">IFERROR(INDEX(Productos!$D$7:$D$406,MATCH(B27,Productos!$B$7:$B$406,0)),"")</f>
        <v>0</v>
      </c>
      <c r="D27" s="12" t="str">
        <f aca="false">IFERROR(IF(INDEX(Landings!$G$7:$G$306,MATCH(INDEX(Productos!$C$7:$C$406,MATCH(B27,Productos!$B$7:$B$406,0)),Landings!$B$7:$B$306,0))="Sí","Sí","No"),"")</f>
        <v>No</v>
      </c>
      <c r="E27" s="12" t="str">
        <f aca="false">IFERROR(INDEX(Productos!$I$7:$I$406,MATCH(B27,Productos!$B$7:$B$406,0)),"")</f>
        <v/>
      </c>
      <c r="F27" s="12" t="n">
        <f aca="false">IFERROR(INDEX(Productos!$J$7:$J$406,MATCH(B27,Productos!$B$7:$B$406,0)),"")</f>
        <v>0</v>
      </c>
      <c r="G27" s="22" t="str">
        <f aca="false">IFERROR(INDEX(Productos!$K$7:$K$406,MATCH(B27,Productos!$B$7:$B$406,0)),"")</f>
        <v/>
      </c>
      <c r="H27" s="10"/>
      <c r="I27" s="10"/>
      <c r="J27" s="10"/>
      <c r="K27" s="10"/>
      <c r="L27" s="23" t="str">
        <f aca="false">IF(B27="","",COUNTIF(D27:F27,"Sí")+IF(G27="",0,IF(G27&lt;=5,1,0))+COUNTIF(H27:K27,"Sí"))</f>
        <v/>
      </c>
      <c r="M27" s="24" t="str">
        <f aca="false">IF(B27="","",IF(L27=8,"VALIDAR",IF(L27&gt;=6,"OBSERVAR","DESCARTAR")))</f>
        <v/>
      </c>
      <c r="N27" s="10"/>
      <c r="O27" s="1"/>
      <c r="P27" s="1"/>
    </row>
    <row r="28" customFormat="false" ht="15" hidden="false" customHeight="false" outlineLevel="0" collapsed="false">
      <c r="A28" s="1"/>
      <c r="B28" s="15"/>
      <c r="C28" s="17" t="n">
        <f aca="false">IFERROR(INDEX(Productos!$D$7:$D$406,MATCH(B28,Productos!$B$7:$B$406,0)),"")</f>
        <v>0</v>
      </c>
      <c r="D28" s="17" t="str">
        <f aca="false">IFERROR(IF(INDEX(Landings!$G$7:$G$306,MATCH(INDEX(Productos!$C$7:$C$406,MATCH(B28,Productos!$B$7:$B$406,0)),Landings!$B$7:$B$306,0))="Sí","Sí","No"),"")</f>
        <v>No</v>
      </c>
      <c r="E28" s="17" t="str">
        <f aca="false">IFERROR(INDEX(Productos!$I$7:$I$406,MATCH(B28,Productos!$B$7:$B$406,0)),"")</f>
        <v/>
      </c>
      <c r="F28" s="17" t="n">
        <f aca="false">IFERROR(INDEX(Productos!$J$7:$J$406,MATCH(B28,Productos!$B$7:$B$406,0)),"")</f>
        <v>0</v>
      </c>
      <c r="G28" s="25" t="str">
        <f aca="false">IFERROR(INDEX(Productos!$K$7:$K$406,MATCH(B28,Productos!$B$7:$B$406,0)),"")</f>
        <v/>
      </c>
      <c r="H28" s="15"/>
      <c r="I28" s="15"/>
      <c r="J28" s="15"/>
      <c r="K28" s="15"/>
      <c r="L28" s="26" t="str">
        <f aca="false">IF(B28="","",COUNTIF(D28:F28,"Sí")+IF(G28="",0,IF(G28&lt;=5,1,0))+COUNTIF(H28:K28,"Sí"))</f>
        <v/>
      </c>
      <c r="M28" s="27" t="str">
        <f aca="false">IF(B28="","",IF(L28=8,"VALIDAR",IF(L28&gt;=6,"OBSERVAR","DESCARTAR")))</f>
        <v/>
      </c>
      <c r="N28" s="15"/>
      <c r="O28" s="1"/>
      <c r="P28" s="1"/>
    </row>
    <row r="29" customFormat="false" ht="15" hidden="false" customHeight="false" outlineLevel="0" collapsed="false">
      <c r="A29" s="1"/>
      <c r="B29" s="10"/>
      <c r="C29" s="12" t="n">
        <f aca="false">IFERROR(INDEX(Productos!$D$7:$D$406,MATCH(B29,Productos!$B$7:$B$406,0)),"")</f>
        <v>0</v>
      </c>
      <c r="D29" s="12" t="str">
        <f aca="false">IFERROR(IF(INDEX(Landings!$G$7:$G$306,MATCH(INDEX(Productos!$C$7:$C$406,MATCH(B29,Productos!$B$7:$B$406,0)),Landings!$B$7:$B$306,0))="Sí","Sí","No"),"")</f>
        <v>No</v>
      </c>
      <c r="E29" s="12" t="str">
        <f aca="false">IFERROR(INDEX(Productos!$I$7:$I$406,MATCH(B29,Productos!$B$7:$B$406,0)),"")</f>
        <v/>
      </c>
      <c r="F29" s="12" t="n">
        <f aca="false">IFERROR(INDEX(Productos!$J$7:$J$406,MATCH(B29,Productos!$B$7:$B$406,0)),"")</f>
        <v>0</v>
      </c>
      <c r="G29" s="22" t="str">
        <f aca="false">IFERROR(INDEX(Productos!$K$7:$K$406,MATCH(B29,Productos!$B$7:$B$406,0)),"")</f>
        <v/>
      </c>
      <c r="H29" s="10"/>
      <c r="I29" s="10"/>
      <c r="J29" s="10"/>
      <c r="K29" s="10"/>
      <c r="L29" s="23" t="str">
        <f aca="false">IF(B29="","",COUNTIF(D29:F29,"Sí")+IF(G29="",0,IF(G29&lt;=5,1,0))+COUNTIF(H29:K29,"Sí"))</f>
        <v/>
      </c>
      <c r="M29" s="24" t="str">
        <f aca="false">IF(B29="","",IF(L29=8,"VALIDAR",IF(L29&gt;=6,"OBSERVAR","DESCARTAR")))</f>
        <v/>
      </c>
      <c r="N29" s="10"/>
      <c r="O29" s="1"/>
      <c r="P29" s="1"/>
    </row>
    <row r="30" customFormat="false" ht="15" hidden="false" customHeight="false" outlineLevel="0" collapsed="false">
      <c r="A30" s="1"/>
      <c r="B30" s="15"/>
      <c r="C30" s="17" t="n">
        <f aca="false">IFERROR(INDEX(Productos!$D$7:$D$406,MATCH(B30,Productos!$B$7:$B$406,0)),"")</f>
        <v>0</v>
      </c>
      <c r="D30" s="17" t="str">
        <f aca="false">IFERROR(IF(INDEX(Landings!$G$7:$G$306,MATCH(INDEX(Productos!$C$7:$C$406,MATCH(B30,Productos!$B$7:$B$406,0)),Landings!$B$7:$B$306,0))="Sí","Sí","No"),"")</f>
        <v>No</v>
      </c>
      <c r="E30" s="17" t="str">
        <f aca="false">IFERROR(INDEX(Productos!$I$7:$I$406,MATCH(B30,Productos!$B$7:$B$406,0)),"")</f>
        <v/>
      </c>
      <c r="F30" s="17" t="n">
        <f aca="false">IFERROR(INDEX(Productos!$J$7:$J$406,MATCH(B30,Productos!$B$7:$B$406,0)),"")</f>
        <v>0</v>
      </c>
      <c r="G30" s="25" t="str">
        <f aca="false">IFERROR(INDEX(Productos!$K$7:$K$406,MATCH(B30,Productos!$B$7:$B$406,0)),"")</f>
        <v/>
      </c>
      <c r="H30" s="15"/>
      <c r="I30" s="15"/>
      <c r="J30" s="15"/>
      <c r="K30" s="15"/>
      <c r="L30" s="26" t="str">
        <f aca="false">IF(B30="","",COUNTIF(D30:F30,"Sí")+IF(G30="",0,IF(G30&lt;=5,1,0))+COUNTIF(H30:K30,"Sí"))</f>
        <v/>
      </c>
      <c r="M30" s="27" t="str">
        <f aca="false">IF(B30="","",IF(L30=8,"VALIDAR",IF(L30&gt;=6,"OBSERVAR","DESCARTAR")))</f>
        <v/>
      </c>
      <c r="N30" s="15"/>
      <c r="O30" s="1"/>
      <c r="P30" s="1"/>
    </row>
    <row r="31" customFormat="false" ht="15" hidden="false" customHeight="false" outlineLevel="0" collapsed="false">
      <c r="A31" s="1"/>
      <c r="B31" s="10"/>
      <c r="C31" s="12" t="n">
        <f aca="false">IFERROR(INDEX(Productos!$D$7:$D$406,MATCH(B31,Productos!$B$7:$B$406,0)),"")</f>
        <v>0</v>
      </c>
      <c r="D31" s="12" t="str">
        <f aca="false">IFERROR(IF(INDEX(Landings!$G$7:$G$306,MATCH(INDEX(Productos!$C$7:$C$406,MATCH(B31,Productos!$B$7:$B$406,0)),Landings!$B$7:$B$306,0))="Sí","Sí","No"),"")</f>
        <v>No</v>
      </c>
      <c r="E31" s="12" t="str">
        <f aca="false">IFERROR(INDEX(Productos!$I$7:$I$406,MATCH(B31,Productos!$B$7:$B$406,0)),"")</f>
        <v/>
      </c>
      <c r="F31" s="12" t="n">
        <f aca="false">IFERROR(INDEX(Productos!$J$7:$J$406,MATCH(B31,Productos!$B$7:$B$406,0)),"")</f>
        <v>0</v>
      </c>
      <c r="G31" s="22" t="str">
        <f aca="false">IFERROR(INDEX(Productos!$K$7:$K$406,MATCH(B31,Productos!$B$7:$B$406,0)),"")</f>
        <v/>
      </c>
      <c r="H31" s="10"/>
      <c r="I31" s="10"/>
      <c r="J31" s="10"/>
      <c r="K31" s="10"/>
      <c r="L31" s="23" t="str">
        <f aca="false">IF(B31="","",COUNTIF(D31:F31,"Sí")+IF(G31="",0,IF(G31&lt;=5,1,0))+COUNTIF(H31:K31,"Sí"))</f>
        <v/>
      </c>
      <c r="M31" s="24" t="str">
        <f aca="false">IF(B31="","",IF(L31=8,"VALIDAR",IF(L31&gt;=6,"OBSERVAR","DESCARTAR")))</f>
        <v/>
      </c>
      <c r="N31" s="10"/>
      <c r="O31" s="1"/>
      <c r="P31" s="1"/>
    </row>
    <row r="32" customFormat="false" ht="15" hidden="false" customHeight="false" outlineLevel="0" collapsed="false">
      <c r="A32" s="1"/>
      <c r="B32" s="15"/>
      <c r="C32" s="17" t="n">
        <f aca="false">IFERROR(INDEX(Productos!$D$7:$D$406,MATCH(B32,Productos!$B$7:$B$406,0)),"")</f>
        <v>0</v>
      </c>
      <c r="D32" s="17" t="str">
        <f aca="false">IFERROR(IF(INDEX(Landings!$G$7:$G$306,MATCH(INDEX(Productos!$C$7:$C$406,MATCH(B32,Productos!$B$7:$B$406,0)),Landings!$B$7:$B$306,0))="Sí","Sí","No"),"")</f>
        <v>No</v>
      </c>
      <c r="E32" s="17" t="str">
        <f aca="false">IFERROR(INDEX(Productos!$I$7:$I$406,MATCH(B32,Productos!$B$7:$B$406,0)),"")</f>
        <v/>
      </c>
      <c r="F32" s="17" t="n">
        <f aca="false">IFERROR(INDEX(Productos!$J$7:$J$406,MATCH(B32,Productos!$B$7:$B$406,0)),"")</f>
        <v>0</v>
      </c>
      <c r="G32" s="25" t="str">
        <f aca="false">IFERROR(INDEX(Productos!$K$7:$K$406,MATCH(B32,Productos!$B$7:$B$406,0)),"")</f>
        <v/>
      </c>
      <c r="H32" s="15"/>
      <c r="I32" s="15"/>
      <c r="J32" s="15"/>
      <c r="K32" s="15"/>
      <c r="L32" s="26" t="str">
        <f aca="false">IF(B32="","",COUNTIF(D32:F32,"Sí")+IF(G32="",0,IF(G32&lt;=5,1,0))+COUNTIF(H32:K32,"Sí"))</f>
        <v/>
      </c>
      <c r="M32" s="27" t="str">
        <f aca="false">IF(B32="","",IF(L32=8,"VALIDAR",IF(L32&gt;=6,"OBSERVAR","DESCARTAR")))</f>
        <v/>
      </c>
      <c r="N32" s="15"/>
      <c r="O32" s="1"/>
      <c r="P32" s="1"/>
    </row>
    <row r="33" customFormat="false" ht="15" hidden="false" customHeight="false" outlineLevel="0" collapsed="false">
      <c r="A33" s="1"/>
      <c r="B33" s="10"/>
      <c r="C33" s="12" t="n">
        <f aca="false">IFERROR(INDEX(Productos!$D$7:$D$406,MATCH(B33,Productos!$B$7:$B$406,0)),"")</f>
        <v>0</v>
      </c>
      <c r="D33" s="12" t="str">
        <f aca="false">IFERROR(IF(INDEX(Landings!$G$7:$G$306,MATCH(INDEX(Productos!$C$7:$C$406,MATCH(B33,Productos!$B$7:$B$406,0)),Landings!$B$7:$B$306,0))="Sí","Sí","No"),"")</f>
        <v>No</v>
      </c>
      <c r="E33" s="12" t="str">
        <f aca="false">IFERROR(INDEX(Productos!$I$7:$I$406,MATCH(B33,Productos!$B$7:$B$406,0)),"")</f>
        <v/>
      </c>
      <c r="F33" s="12" t="n">
        <f aca="false">IFERROR(INDEX(Productos!$J$7:$J$406,MATCH(B33,Productos!$B$7:$B$406,0)),"")</f>
        <v>0</v>
      </c>
      <c r="G33" s="22" t="str">
        <f aca="false">IFERROR(INDEX(Productos!$K$7:$K$406,MATCH(B33,Productos!$B$7:$B$406,0)),"")</f>
        <v/>
      </c>
      <c r="H33" s="10"/>
      <c r="I33" s="10"/>
      <c r="J33" s="10"/>
      <c r="K33" s="10"/>
      <c r="L33" s="23" t="str">
        <f aca="false">IF(B33="","",COUNTIF(D33:F33,"Sí")+IF(G33="",0,IF(G33&lt;=5,1,0))+COUNTIF(H33:K33,"Sí"))</f>
        <v/>
      </c>
      <c r="M33" s="24" t="str">
        <f aca="false">IF(B33="","",IF(L33=8,"VALIDAR",IF(L33&gt;=6,"OBSERVAR","DESCARTAR")))</f>
        <v/>
      </c>
      <c r="N33" s="10"/>
      <c r="O33" s="1"/>
      <c r="P33" s="1"/>
    </row>
    <row r="34" customFormat="false" ht="15" hidden="false" customHeight="false" outlineLevel="0" collapsed="false">
      <c r="A34" s="1"/>
      <c r="B34" s="15"/>
      <c r="C34" s="17" t="n">
        <f aca="false">IFERROR(INDEX(Productos!$D$7:$D$406,MATCH(B34,Productos!$B$7:$B$406,0)),"")</f>
        <v>0</v>
      </c>
      <c r="D34" s="17" t="str">
        <f aca="false">IFERROR(IF(INDEX(Landings!$G$7:$G$306,MATCH(INDEX(Productos!$C$7:$C$406,MATCH(B34,Productos!$B$7:$B$406,0)),Landings!$B$7:$B$306,0))="Sí","Sí","No"),"")</f>
        <v>No</v>
      </c>
      <c r="E34" s="17" t="str">
        <f aca="false">IFERROR(INDEX(Productos!$I$7:$I$406,MATCH(B34,Productos!$B$7:$B$406,0)),"")</f>
        <v/>
      </c>
      <c r="F34" s="17" t="n">
        <f aca="false">IFERROR(INDEX(Productos!$J$7:$J$406,MATCH(B34,Productos!$B$7:$B$406,0)),"")</f>
        <v>0</v>
      </c>
      <c r="G34" s="25" t="str">
        <f aca="false">IFERROR(INDEX(Productos!$K$7:$K$406,MATCH(B34,Productos!$B$7:$B$406,0)),"")</f>
        <v/>
      </c>
      <c r="H34" s="15"/>
      <c r="I34" s="15"/>
      <c r="J34" s="15"/>
      <c r="K34" s="15"/>
      <c r="L34" s="26" t="str">
        <f aca="false">IF(B34="","",COUNTIF(D34:F34,"Sí")+IF(G34="",0,IF(G34&lt;=5,1,0))+COUNTIF(H34:K34,"Sí"))</f>
        <v/>
      </c>
      <c r="M34" s="27" t="str">
        <f aca="false">IF(B34="","",IF(L34=8,"VALIDAR",IF(L34&gt;=6,"OBSERVAR","DESCARTAR")))</f>
        <v/>
      </c>
      <c r="N34" s="15"/>
      <c r="O34" s="1"/>
      <c r="P34" s="1"/>
    </row>
    <row r="35" customFormat="false" ht="15" hidden="false" customHeight="false" outlineLevel="0" collapsed="false">
      <c r="A35" s="1"/>
      <c r="B35" s="10"/>
      <c r="C35" s="12" t="n">
        <f aca="false">IFERROR(INDEX(Productos!$D$7:$D$406,MATCH(B35,Productos!$B$7:$B$406,0)),"")</f>
        <v>0</v>
      </c>
      <c r="D35" s="12" t="str">
        <f aca="false">IFERROR(IF(INDEX(Landings!$G$7:$G$306,MATCH(INDEX(Productos!$C$7:$C$406,MATCH(B35,Productos!$B$7:$B$406,0)),Landings!$B$7:$B$306,0))="Sí","Sí","No"),"")</f>
        <v>No</v>
      </c>
      <c r="E35" s="12" t="str">
        <f aca="false">IFERROR(INDEX(Productos!$I$7:$I$406,MATCH(B35,Productos!$B$7:$B$406,0)),"")</f>
        <v/>
      </c>
      <c r="F35" s="12" t="n">
        <f aca="false">IFERROR(INDEX(Productos!$J$7:$J$406,MATCH(B35,Productos!$B$7:$B$406,0)),"")</f>
        <v>0</v>
      </c>
      <c r="G35" s="22" t="str">
        <f aca="false">IFERROR(INDEX(Productos!$K$7:$K$406,MATCH(B35,Productos!$B$7:$B$406,0)),"")</f>
        <v/>
      </c>
      <c r="H35" s="10"/>
      <c r="I35" s="10"/>
      <c r="J35" s="10"/>
      <c r="K35" s="10"/>
      <c r="L35" s="23" t="str">
        <f aca="false">IF(B35="","",COUNTIF(D35:F35,"Sí")+IF(G35="",0,IF(G35&lt;=5,1,0))+COUNTIF(H35:K35,"Sí"))</f>
        <v/>
      </c>
      <c r="M35" s="24" t="str">
        <f aca="false">IF(B35="","",IF(L35=8,"VALIDAR",IF(L35&gt;=6,"OBSERVAR","DESCARTAR")))</f>
        <v/>
      </c>
      <c r="N35" s="10"/>
      <c r="O35" s="1"/>
      <c r="P35" s="1"/>
    </row>
    <row r="36" customFormat="false" ht="15" hidden="false" customHeight="false" outlineLevel="0" collapsed="false">
      <c r="A36" s="1"/>
      <c r="B36" s="15"/>
      <c r="C36" s="17" t="n">
        <f aca="false">IFERROR(INDEX(Productos!$D$7:$D$406,MATCH(B36,Productos!$B$7:$B$406,0)),"")</f>
        <v>0</v>
      </c>
      <c r="D36" s="17" t="str">
        <f aca="false">IFERROR(IF(INDEX(Landings!$G$7:$G$306,MATCH(INDEX(Productos!$C$7:$C$406,MATCH(B36,Productos!$B$7:$B$406,0)),Landings!$B$7:$B$306,0))="Sí","Sí","No"),"")</f>
        <v>No</v>
      </c>
      <c r="E36" s="17" t="str">
        <f aca="false">IFERROR(INDEX(Productos!$I$7:$I$406,MATCH(B36,Productos!$B$7:$B$406,0)),"")</f>
        <v/>
      </c>
      <c r="F36" s="17" t="n">
        <f aca="false">IFERROR(INDEX(Productos!$J$7:$J$406,MATCH(B36,Productos!$B$7:$B$406,0)),"")</f>
        <v>0</v>
      </c>
      <c r="G36" s="25" t="str">
        <f aca="false">IFERROR(INDEX(Productos!$K$7:$K$406,MATCH(B36,Productos!$B$7:$B$406,0)),"")</f>
        <v/>
      </c>
      <c r="H36" s="15"/>
      <c r="I36" s="15"/>
      <c r="J36" s="15"/>
      <c r="K36" s="15"/>
      <c r="L36" s="26" t="str">
        <f aca="false">IF(B36="","",COUNTIF(D36:F36,"Sí")+IF(G36="",0,IF(G36&lt;=5,1,0))+COUNTIF(H36:K36,"Sí"))</f>
        <v/>
      </c>
      <c r="M36" s="27" t="str">
        <f aca="false">IF(B36="","",IF(L36=8,"VALIDAR",IF(L36&gt;=6,"OBSERVAR","DESCARTAR")))</f>
        <v/>
      </c>
      <c r="N36" s="15"/>
      <c r="O36" s="1"/>
      <c r="P36" s="1"/>
    </row>
    <row r="37" customFormat="false" ht="15" hidden="false" customHeight="false" outlineLevel="0" collapsed="false">
      <c r="A37" s="1"/>
      <c r="B37" s="10"/>
      <c r="C37" s="12" t="n">
        <f aca="false">IFERROR(INDEX(Productos!$D$7:$D$406,MATCH(B37,Productos!$B$7:$B$406,0)),"")</f>
        <v>0</v>
      </c>
      <c r="D37" s="12" t="str">
        <f aca="false">IFERROR(IF(INDEX(Landings!$G$7:$G$306,MATCH(INDEX(Productos!$C$7:$C$406,MATCH(B37,Productos!$B$7:$B$406,0)),Landings!$B$7:$B$306,0))="Sí","Sí","No"),"")</f>
        <v>No</v>
      </c>
      <c r="E37" s="12" t="str">
        <f aca="false">IFERROR(INDEX(Productos!$I$7:$I$406,MATCH(B37,Productos!$B$7:$B$406,0)),"")</f>
        <v/>
      </c>
      <c r="F37" s="12" t="n">
        <f aca="false">IFERROR(INDEX(Productos!$J$7:$J$406,MATCH(B37,Productos!$B$7:$B$406,0)),"")</f>
        <v>0</v>
      </c>
      <c r="G37" s="22" t="str">
        <f aca="false">IFERROR(INDEX(Productos!$K$7:$K$406,MATCH(B37,Productos!$B$7:$B$406,0)),"")</f>
        <v/>
      </c>
      <c r="H37" s="10"/>
      <c r="I37" s="10"/>
      <c r="J37" s="10"/>
      <c r="K37" s="10"/>
      <c r="L37" s="23" t="str">
        <f aca="false">IF(B37="","",COUNTIF(D37:F37,"Sí")+IF(G37="",0,IF(G37&lt;=5,1,0))+COUNTIF(H37:K37,"Sí"))</f>
        <v/>
      </c>
      <c r="M37" s="24" t="str">
        <f aca="false">IF(B37="","",IF(L37=8,"VALIDAR",IF(L37&gt;=6,"OBSERVAR","DESCARTAR")))</f>
        <v/>
      </c>
      <c r="N37" s="10"/>
      <c r="O37" s="1"/>
      <c r="P37" s="1"/>
    </row>
    <row r="38" customFormat="false" ht="15" hidden="false" customHeight="false" outlineLevel="0" collapsed="false">
      <c r="A38" s="1"/>
      <c r="B38" s="15"/>
      <c r="C38" s="17" t="n">
        <f aca="false">IFERROR(INDEX(Productos!$D$7:$D$406,MATCH(B38,Productos!$B$7:$B$406,0)),"")</f>
        <v>0</v>
      </c>
      <c r="D38" s="17" t="str">
        <f aca="false">IFERROR(IF(INDEX(Landings!$G$7:$G$306,MATCH(INDEX(Productos!$C$7:$C$406,MATCH(B38,Productos!$B$7:$B$406,0)),Landings!$B$7:$B$306,0))="Sí","Sí","No"),"")</f>
        <v>No</v>
      </c>
      <c r="E38" s="17" t="str">
        <f aca="false">IFERROR(INDEX(Productos!$I$7:$I$406,MATCH(B38,Productos!$B$7:$B$406,0)),"")</f>
        <v/>
      </c>
      <c r="F38" s="17" t="n">
        <f aca="false">IFERROR(INDEX(Productos!$J$7:$J$406,MATCH(B38,Productos!$B$7:$B$406,0)),"")</f>
        <v>0</v>
      </c>
      <c r="G38" s="25" t="str">
        <f aca="false">IFERROR(INDEX(Productos!$K$7:$K$406,MATCH(B38,Productos!$B$7:$B$406,0)),"")</f>
        <v/>
      </c>
      <c r="H38" s="15"/>
      <c r="I38" s="15"/>
      <c r="J38" s="15"/>
      <c r="K38" s="15"/>
      <c r="L38" s="26" t="str">
        <f aca="false">IF(B38="","",COUNTIF(D38:F38,"Sí")+IF(G38="",0,IF(G38&lt;=5,1,0))+COUNTIF(H38:K38,"Sí"))</f>
        <v/>
      </c>
      <c r="M38" s="27" t="str">
        <f aca="false">IF(B38="","",IF(L38=8,"VALIDAR",IF(L38&gt;=6,"OBSERVAR","DESCARTAR")))</f>
        <v/>
      </c>
      <c r="N38" s="15"/>
      <c r="O38" s="1"/>
      <c r="P38" s="1"/>
    </row>
    <row r="39" customFormat="false" ht="15" hidden="false" customHeight="false" outlineLevel="0" collapsed="false">
      <c r="A39" s="1"/>
      <c r="B39" s="10"/>
      <c r="C39" s="12" t="n">
        <f aca="false">IFERROR(INDEX(Productos!$D$7:$D$406,MATCH(B39,Productos!$B$7:$B$406,0)),"")</f>
        <v>0</v>
      </c>
      <c r="D39" s="12" t="str">
        <f aca="false">IFERROR(IF(INDEX(Landings!$G$7:$G$306,MATCH(INDEX(Productos!$C$7:$C$406,MATCH(B39,Productos!$B$7:$B$406,0)),Landings!$B$7:$B$306,0))="Sí","Sí","No"),"")</f>
        <v>No</v>
      </c>
      <c r="E39" s="12" t="str">
        <f aca="false">IFERROR(INDEX(Productos!$I$7:$I$406,MATCH(B39,Productos!$B$7:$B$406,0)),"")</f>
        <v/>
      </c>
      <c r="F39" s="12" t="n">
        <f aca="false">IFERROR(INDEX(Productos!$J$7:$J$406,MATCH(B39,Productos!$B$7:$B$406,0)),"")</f>
        <v>0</v>
      </c>
      <c r="G39" s="22" t="str">
        <f aca="false">IFERROR(INDEX(Productos!$K$7:$K$406,MATCH(B39,Productos!$B$7:$B$406,0)),"")</f>
        <v/>
      </c>
      <c r="H39" s="10"/>
      <c r="I39" s="10"/>
      <c r="J39" s="10"/>
      <c r="K39" s="10"/>
      <c r="L39" s="23" t="str">
        <f aca="false">IF(B39="","",COUNTIF(D39:F39,"Sí")+IF(G39="",0,IF(G39&lt;=5,1,0))+COUNTIF(H39:K39,"Sí"))</f>
        <v/>
      </c>
      <c r="M39" s="24" t="str">
        <f aca="false">IF(B39="","",IF(L39=8,"VALIDAR",IF(L39&gt;=6,"OBSERVAR","DESCARTAR")))</f>
        <v/>
      </c>
      <c r="N39" s="10"/>
      <c r="O39" s="1"/>
      <c r="P39" s="1"/>
    </row>
    <row r="40" customFormat="false" ht="15" hidden="false" customHeight="false" outlineLevel="0" collapsed="false">
      <c r="A40" s="1"/>
      <c r="B40" s="15"/>
      <c r="C40" s="17" t="n">
        <f aca="false">IFERROR(INDEX(Productos!$D$7:$D$406,MATCH(B40,Productos!$B$7:$B$406,0)),"")</f>
        <v>0</v>
      </c>
      <c r="D40" s="17" t="str">
        <f aca="false">IFERROR(IF(INDEX(Landings!$G$7:$G$306,MATCH(INDEX(Productos!$C$7:$C$406,MATCH(B40,Productos!$B$7:$B$406,0)),Landings!$B$7:$B$306,0))="Sí","Sí","No"),"")</f>
        <v>No</v>
      </c>
      <c r="E40" s="17" t="str">
        <f aca="false">IFERROR(INDEX(Productos!$I$7:$I$406,MATCH(B40,Productos!$B$7:$B$406,0)),"")</f>
        <v/>
      </c>
      <c r="F40" s="17" t="n">
        <f aca="false">IFERROR(INDEX(Productos!$J$7:$J$406,MATCH(B40,Productos!$B$7:$B$406,0)),"")</f>
        <v>0</v>
      </c>
      <c r="G40" s="25" t="str">
        <f aca="false">IFERROR(INDEX(Productos!$K$7:$K$406,MATCH(B40,Productos!$B$7:$B$406,0)),"")</f>
        <v/>
      </c>
      <c r="H40" s="15"/>
      <c r="I40" s="15"/>
      <c r="J40" s="15"/>
      <c r="K40" s="15"/>
      <c r="L40" s="26" t="str">
        <f aca="false">IF(B40="","",COUNTIF(D40:F40,"Sí")+IF(G40="",0,IF(G40&lt;=5,1,0))+COUNTIF(H40:K40,"Sí"))</f>
        <v/>
      </c>
      <c r="M40" s="27" t="str">
        <f aca="false">IF(B40="","",IF(L40=8,"VALIDAR",IF(L40&gt;=6,"OBSERVAR","DESCARTAR")))</f>
        <v/>
      </c>
      <c r="N40" s="15"/>
      <c r="O40" s="1"/>
      <c r="P40" s="1"/>
    </row>
    <row r="41" customFormat="false" ht="15" hidden="false" customHeight="false" outlineLevel="0" collapsed="false">
      <c r="A41" s="1"/>
      <c r="B41" s="10"/>
      <c r="C41" s="12" t="n">
        <f aca="false">IFERROR(INDEX(Productos!$D$7:$D$406,MATCH(B41,Productos!$B$7:$B$406,0)),"")</f>
        <v>0</v>
      </c>
      <c r="D41" s="12" t="str">
        <f aca="false">IFERROR(IF(INDEX(Landings!$G$7:$G$306,MATCH(INDEX(Productos!$C$7:$C$406,MATCH(B41,Productos!$B$7:$B$406,0)),Landings!$B$7:$B$306,0))="Sí","Sí","No"),"")</f>
        <v>No</v>
      </c>
      <c r="E41" s="12" t="str">
        <f aca="false">IFERROR(INDEX(Productos!$I$7:$I$406,MATCH(B41,Productos!$B$7:$B$406,0)),"")</f>
        <v/>
      </c>
      <c r="F41" s="12" t="n">
        <f aca="false">IFERROR(INDEX(Productos!$J$7:$J$406,MATCH(B41,Productos!$B$7:$B$406,0)),"")</f>
        <v>0</v>
      </c>
      <c r="G41" s="22" t="str">
        <f aca="false">IFERROR(INDEX(Productos!$K$7:$K$406,MATCH(B41,Productos!$B$7:$B$406,0)),"")</f>
        <v/>
      </c>
      <c r="H41" s="10"/>
      <c r="I41" s="10"/>
      <c r="J41" s="10"/>
      <c r="K41" s="10"/>
      <c r="L41" s="23" t="str">
        <f aca="false">IF(B41="","",COUNTIF(D41:F41,"Sí")+IF(G41="",0,IF(G41&lt;=5,1,0))+COUNTIF(H41:K41,"Sí"))</f>
        <v/>
      </c>
      <c r="M41" s="24" t="str">
        <f aca="false">IF(B41="","",IF(L41=8,"VALIDAR",IF(L41&gt;=6,"OBSERVAR","DESCARTAR")))</f>
        <v/>
      </c>
      <c r="N41" s="10"/>
      <c r="O41" s="1"/>
      <c r="P41" s="1"/>
    </row>
    <row r="42" customFormat="false" ht="15" hidden="false" customHeight="false" outlineLevel="0" collapsed="false">
      <c r="A42" s="1"/>
      <c r="B42" s="15"/>
      <c r="C42" s="17" t="n">
        <f aca="false">IFERROR(INDEX(Productos!$D$7:$D$406,MATCH(B42,Productos!$B$7:$B$406,0)),"")</f>
        <v>0</v>
      </c>
      <c r="D42" s="17" t="str">
        <f aca="false">IFERROR(IF(INDEX(Landings!$G$7:$G$306,MATCH(INDEX(Productos!$C$7:$C$406,MATCH(B42,Productos!$B$7:$B$406,0)),Landings!$B$7:$B$306,0))="Sí","Sí","No"),"")</f>
        <v>No</v>
      </c>
      <c r="E42" s="17" t="str">
        <f aca="false">IFERROR(INDEX(Productos!$I$7:$I$406,MATCH(B42,Productos!$B$7:$B$406,0)),"")</f>
        <v/>
      </c>
      <c r="F42" s="17" t="n">
        <f aca="false">IFERROR(INDEX(Productos!$J$7:$J$406,MATCH(B42,Productos!$B$7:$B$406,0)),"")</f>
        <v>0</v>
      </c>
      <c r="G42" s="25" t="str">
        <f aca="false">IFERROR(INDEX(Productos!$K$7:$K$406,MATCH(B42,Productos!$B$7:$B$406,0)),"")</f>
        <v/>
      </c>
      <c r="H42" s="15"/>
      <c r="I42" s="15"/>
      <c r="J42" s="15"/>
      <c r="K42" s="15"/>
      <c r="L42" s="26" t="str">
        <f aca="false">IF(B42="","",COUNTIF(D42:F42,"Sí")+IF(G42="",0,IF(G42&lt;=5,1,0))+COUNTIF(H42:K42,"Sí"))</f>
        <v/>
      </c>
      <c r="M42" s="27" t="str">
        <f aca="false">IF(B42="","",IF(L42=8,"VALIDAR",IF(L42&gt;=6,"OBSERVAR","DESCARTAR")))</f>
        <v/>
      </c>
      <c r="N42" s="15"/>
      <c r="O42" s="1"/>
      <c r="P42" s="1"/>
    </row>
    <row r="43" customFormat="false" ht="15" hidden="false" customHeight="false" outlineLevel="0" collapsed="false">
      <c r="A43" s="1"/>
      <c r="B43" s="10"/>
      <c r="C43" s="12" t="n">
        <f aca="false">IFERROR(INDEX(Productos!$D$7:$D$406,MATCH(B43,Productos!$B$7:$B$406,0)),"")</f>
        <v>0</v>
      </c>
      <c r="D43" s="12" t="str">
        <f aca="false">IFERROR(IF(INDEX(Landings!$G$7:$G$306,MATCH(INDEX(Productos!$C$7:$C$406,MATCH(B43,Productos!$B$7:$B$406,0)),Landings!$B$7:$B$306,0))="Sí","Sí","No"),"")</f>
        <v>No</v>
      </c>
      <c r="E43" s="12" t="str">
        <f aca="false">IFERROR(INDEX(Productos!$I$7:$I$406,MATCH(B43,Productos!$B$7:$B$406,0)),"")</f>
        <v/>
      </c>
      <c r="F43" s="12" t="n">
        <f aca="false">IFERROR(INDEX(Productos!$J$7:$J$406,MATCH(B43,Productos!$B$7:$B$406,0)),"")</f>
        <v>0</v>
      </c>
      <c r="G43" s="22" t="str">
        <f aca="false">IFERROR(INDEX(Productos!$K$7:$K$406,MATCH(B43,Productos!$B$7:$B$406,0)),"")</f>
        <v/>
      </c>
      <c r="H43" s="10"/>
      <c r="I43" s="10"/>
      <c r="J43" s="10"/>
      <c r="K43" s="10"/>
      <c r="L43" s="23" t="str">
        <f aca="false">IF(B43="","",COUNTIF(D43:F43,"Sí")+IF(G43="",0,IF(G43&lt;=5,1,0))+COUNTIF(H43:K43,"Sí"))</f>
        <v/>
      </c>
      <c r="M43" s="24" t="str">
        <f aca="false">IF(B43="","",IF(L43=8,"VALIDAR",IF(L43&gt;=6,"OBSERVAR","DESCARTAR")))</f>
        <v/>
      </c>
      <c r="N43" s="10"/>
      <c r="O43" s="1"/>
      <c r="P43" s="1"/>
    </row>
    <row r="44" customFormat="false" ht="15" hidden="false" customHeight="false" outlineLevel="0" collapsed="false">
      <c r="A44" s="1"/>
      <c r="B44" s="15"/>
      <c r="C44" s="17" t="n">
        <f aca="false">IFERROR(INDEX(Productos!$D$7:$D$406,MATCH(B44,Productos!$B$7:$B$406,0)),"")</f>
        <v>0</v>
      </c>
      <c r="D44" s="17" t="str">
        <f aca="false">IFERROR(IF(INDEX(Landings!$G$7:$G$306,MATCH(INDEX(Productos!$C$7:$C$406,MATCH(B44,Productos!$B$7:$B$406,0)),Landings!$B$7:$B$306,0))="Sí","Sí","No"),"")</f>
        <v>No</v>
      </c>
      <c r="E44" s="17" t="str">
        <f aca="false">IFERROR(INDEX(Productos!$I$7:$I$406,MATCH(B44,Productos!$B$7:$B$406,0)),"")</f>
        <v/>
      </c>
      <c r="F44" s="17" t="n">
        <f aca="false">IFERROR(INDEX(Productos!$J$7:$J$406,MATCH(B44,Productos!$B$7:$B$406,0)),"")</f>
        <v>0</v>
      </c>
      <c r="G44" s="25" t="str">
        <f aca="false">IFERROR(INDEX(Productos!$K$7:$K$406,MATCH(B44,Productos!$B$7:$B$406,0)),"")</f>
        <v/>
      </c>
      <c r="H44" s="15"/>
      <c r="I44" s="15"/>
      <c r="J44" s="15"/>
      <c r="K44" s="15"/>
      <c r="L44" s="26" t="str">
        <f aca="false">IF(B44="","",COUNTIF(D44:F44,"Sí")+IF(G44="",0,IF(G44&lt;=5,1,0))+COUNTIF(H44:K44,"Sí"))</f>
        <v/>
      </c>
      <c r="M44" s="27" t="str">
        <f aca="false">IF(B44="","",IF(L44=8,"VALIDAR",IF(L44&gt;=6,"OBSERVAR","DESCARTAR")))</f>
        <v/>
      </c>
      <c r="N44" s="15"/>
      <c r="O44" s="1"/>
      <c r="P44" s="1"/>
    </row>
    <row r="45" customFormat="false" ht="15" hidden="false" customHeight="false" outlineLevel="0" collapsed="false">
      <c r="A45" s="1"/>
      <c r="B45" s="10"/>
      <c r="C45" s="12" t="n">
        <f aca="false">IFERROR(INDEX(Productos!$D$7:$D$406,MATCH(B45,Productos!$B$7:$B$406,0)),"")</f>
        <v>0</v>
      </c>
      <c r="D45" s="12" t="str">
        <f aca="false">IFERROR(IF(INDEX(Landings!$G$7:$G$306,MATCH(INDEX(Productos!$C$7:$C$406,MATCH(B45,Productos!$B$7:$B$406,0)),Landings!$B$7:$B$306,0))="Sí","Sí","No"),"")</f>
        <v>No</v>
      </c>
      <c r="E45" s="12" t="str">
        <f aca="false">IFERROR(INDEX(Productos!$I$7:$I$406,MATCH(B45,Productos!$B$7:$B$406,0)),"")</f>
        <v/>
      </c>
      <c r="F45" s="12" t="n">
        <f aca="false">IFERROR(INDEX(Productos!$J$7:$J$406,MATCH(B45,Productos!$B$7:$B$406,0)),"")</f>
        <v>0</v>
      </c>
      <c r="G45" s="22" t="str">
        <f aca="false">IFERROR(INDEX(Productos!$K$7:$K$406,MATCH(B45,Productos!$B$7:$B$406,0)),"")</f>
        <v/>
      </c>
      <c r="H45" s="10"/>
      <c r="I45" s="10"/>
      <c r="J45" s="10"/>
      <c r="K45" s="10"/>
      <c r="L45" s="23" t="str">
        <f aca="false">IF(B45="","",COUNTIF(D45:F45,"Sí")+IF(G45="",0,IF(G45&lt;=5,1,0))+COUNTIF(H45:K45,"Sí"))</f>
        <v/>
      </c>
      <c r="M45" s="24" t="str">
        <f aca="false">IF(B45="","",IF(L45=8,"VALIDAR",IF(L45&gt;=6,"OBSERVAR","DESCARTAR")))</f>
        <v/>
      </c>
      <c r="N45" s="10"/>
      <c r="O45" s="1"/>
      <c r="P45" s="1"/>
    </row>
    <row r="46" customFormat="false" ht="15" hidden="false" customHeight="false" outlineLevel="0" collapsed="false">
      <c r="A46" s="1"/>
      <c r="B46" s="15"/>
      <c r="C46" s="17" t="n">
        <f aca="false">IFERROR(INDEX(Productos!$D$7:$D$406,MATCH(B46,Productos!$B$7:$B$406,0)),"")</f>
        <v>0</v>
      </c>
      <c r="D46" s="17" t="str">
        <f aca="false">IFERROR(IF(INDEX(Landings!$G$7:$G$306,MATCH(INDEX(Productos!$C$7:$C$406,MATCH(B46,Productos!$B$7:$B$406,0)),Landings!$B$7:$B$306,0))="Sí","Sí","No"),"")</f>
        <v>No</v>
      </c>
      <c r="E46" s="17" t="str">
        <f aca="false">IFERROR(INDEX(Productos!$I$7:$I$406,MATCH(B46,Productos!$B$7:$B$406,0)),"")</f>
        <v/>
      </c>
      <c r="F46" s="17" t="n">
        <f aca="false">IFERROR(INDEX(Productos!$J$7:$J$406,MATCH(B46,Productos!$B$7:$B$406,0)),"")</f>
        <v>0</v>
      </c>
      <c r="G46" s="25" t="str">
        <f aca="false">IFERROR(INDEX(Productos!$K$7:$K$406,MATCH(B46,Productos!$B$7:$B$406,0)),"")</f>
        <v/>
      </c>
      <c r="H46" s="15"/>
      <c r="I46" s="15"/>
      <c r="J46" s="15"/>
      <c r="K46" s="15"/>
      <c r="L46" s="26" t="str">
        <f aca="false">IF(B46="","",COUNTIF(D46:F46,"Sí")+IF(G46="",0,IF(G46&lt;=5,1,0))+COUNTIF(H46:K46,"Sí"))</f>
        <v/>
      </c>
      <c r="M46" s="27" t="str">
        <f aca="false">IF(B46="","",IF(L46=8,"VALIDAR",IF(L46&gt;=6,"OBSERVAR","DESCARTAR")))</f>
        <v/>
      </c>
      <c r="N46" s="15"/>
      <c r="O46" s="1"/>
      <c r="P46" s="1"/>
    </row>
    <row r="47" customFormat="false" ht="15" hidden="false" customHeight="false" outlineLevel="0" collapsed="false">
      <c r="A47" s="1"/>
      <c r="B47" s="1"/>
      <c r="C47" s="1"/>
      <c r="D47" s="1"/>
      <c r="E47" s="1"/>
      <c r="F47" s="1"/>
      <c r="G47" s="1"/>
      <c r="H47" s="1"/>
      <c r="I47" s="1"/>
      <c r="J47" s="1"/>
      <c r="K47" s="1"/>
      <c r="L47" s="1"/>
      <c r="M47" s="1"/>
      <c r="N47" s="1"/>
      <c r="O47" s="1"/>
      <c r="P47" s="1"/>
    </row>
    <row r="48" customFormat="false" ht="15" hidden="false" customHeight="false" outlineLevel="0" collapsed="false">
      <c r="A48" s="1"/>
      <c r="B48" s="1"/>
      <c r="C48" s="1"/>
      <c r="D48" s="1"/>
      <c r="E48" s="1"/>
      <c r="F48" s="1"/>
      <c r="G48" s="1"/>
      <c r="H48" s="1"/>
      <c r="I48" s="1"/>
      <c r="J48" s="1"/>
      <c r="K48" s="1"/>
      <c r="L48" s="1"/>
      <c r="M48" s="1"/>
      <c r="N48" s="1"/>
      <c r="O48" s="1"/>
      <c r="P48" s="1"/>
    </row>
    <row r="49" customFormat="false" ht="15" hidden="false" customHeight="false" outlineLevel="0" collapsed="false">
      <c r="A49" s="1"/>
      <c r="B49" s="1"/>
      <c r="C49" s="1"/>
      <c r="D49" s="1"/>
      <c r="E49" s="1"/>
      <c r="F49" s="1"/>
      <c r="G49" s="1"/>
      <c r="H49" s="1"/>
      <c r="I49" s="1"/>
      <c r="J49" s="1"/>
      <c r="K49" s="1"/>
      <c r="L49" s="1"/>
      <c r="M49" s="1"/>
      <c r="N49" s="1"/>
      <c r="O49" s="1"/>
      <c r="P49" s="1"/>
    </row>
    <row r="50" customFormat="false" ht="15" hidden="false" customHeight="false" outlineLevel="0" collapsed="false">
      <c r="A50" s="1"/>
      <c r="B50" s="1"/>
      <c r="C50" s="1"/>
      <c r="D50" s="1"/>
      <c r="E50" s="1"/>
      <c r="F50" s="1"/>
      <c r="G50" s="1"/>
      <c r="H50" s="1"/>
      <c r="I50" s="1"/>
      <c r="J50" s="1"/>
      <c r="K50" s="1"/>
      <c r="L50" s="1"/>
      <c r="M50" s="1"/>
      <c r="N50" s="1"/>
      <c r="O50" s="1"/>
      <c r="P50" s="1"/>
    </row>
    <row r="51" customFormat="false" ht="15" hidden="false" customHeight="false" outlineLevel="0" collapsed="false">
      <c r="A51" s="1"/>
      <c r="B51" s="1"/>
      <c r="C51" s="1"/>
      <c r="D51" s="1"/>
      <c r="E51" s="1"/>
      <c r="F51" s="1"/>
      <c r="G51" s="1"/>
      <c r="H51" s="1"/>
      <c r="I51" s="1"/>
      <c r="J51" s="1"/>
      <c r="K51" s="1"/>
      <c r="L51" s="1"/>
      <c r="M51" s="1"/>
      <c r="N51" s="1"/>
      <c r="O51" s="1"/>
      <c r="P51" s="1"/>
    </row>
    <row r="52" customFormat="false" ht="15" hidden="false" customHeight="false" outlineLevel="0" collapsed="false">
      <c r="A52" s="1"/>
      <c r="B52" s="1"/>
      <c r="C52" s="1"/>
      <c r="D52" s="1"/>
      <c r="E52" s="1"/>
      <c r="F52" s="1"/>
      <c r="G52" s="1"/>
      <c r="H52" s="1"/>
      <c r="I52" s="1"/>
      <c r="J52" s="1"/>
      <c r="K52" s="1"/>
      <c r="L52" s="1"/>
      <c r="M52" s="1"/>
      <c r="N52" s="1"/>
      <c r="O52" s="1"/>
      <c r="P52" s="1"/>
    </row>
    <row r="53" customFormat="false" ht="15" hidden="false" customHeight="false" outlineLevel="0" collapsed="false">
      <c r="A53" s="1"/>
      <c r="B53" s="1"/>
      <c r="C53" s="1"/>
      <c r="D53" s="1"/>
      <c r="E53" s="1"/>
      <c r="F53" s="1"/>
      <c r="G53" s="1"/>
      <c r="H53" s="1"/>
      <c r="I53" s="1"/>
      <c r="J53" s="1"/>
      <c r="K53" s="1"/>
      <c r="L53" s="1"/>
      <c r="M53" s="1"/>
      <c r="N53" s="1"/>
      <c r="O53" s="1"/>
      <c r="P53" s="1"/>
    </row>
  </sheetData>
  <conditionalFormatting sqref="M7:M46">
    <cfRule type="cellIs" priority="2" operator="equal" aboveAverage="0" equalAverage="0" bottom="0" percent="0" rank="0" text="" dxfId="6">
      <formula>"VALIDAR"</formula>
    </cfRule>
    <cfRule type="cellIs" priority="3" operator="equal" aboveAverage="0" equalAverage="0" bottom="0" percent="0" rank="0" text="" dxfId="11">
      <formula>"OBSERVAR"</formula>
    </cfRule>
    <cfRule type="cellIs" priority="4" operator="equal" aboveAverage="0" equalAverage="0" bottom="0" percent="0" rank="0" text="" dxfId="12">
      <formula>"DESCARTAR"</formula>
    </cfRule>
  </conditionalFormatting>
  <conditionalFormatting sqref="D7:K46">
    <cfRule type="cellIs" priority="5" operator="equal" aboveAverage="0" equalAverage="0" bottom="0" percent="0" rank="0" text="" dxfId="13">
      <formula>"No"</formula>
    </cfRule>
  </conditionalFormatting>
  <dataValidations count="1">
    <dataValidation allowBlank="true" errorStyle="stop" operator="between" showDropDown="false" showErrorMessage="false" showInputMessage="false" sqref="H7:K46" type="list">
      <formula1>Listas!$C$3:$C$4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C4B6"/>
    <pageSetUpPr fitToPage="false"/>
  </sheetPr>
  <dimension ref="A1:I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34"/>
    <col collapsed="false" customWidth="true" hidden="false" outlineLevel="0" max="5" min="3" style="0" width="18"/>
    <col collapsed="false" customWidth="true" hidden="false" outlineLevel="0" max="6" min="6" style="0" width="44"/>
  </cols>
  <sheetData>
    <row r="1" customFormat="false" ht="7.5" hidden="false" customHeight="true" outlineLevel="0" collapsed="false">
      <c r="A1" s="1"/>
      <c r="B1" s="1"/>
      <c r="C1" s="1"/>
      <c r="D1" s="1"/>
      <c r="E1" s="1"/>
      <c r="F1" s="1"/>
      <c r="G1" s="1"/>
      <c r="H1" s="1"/>
      <c r="I1" s="1"/>
    </row>
    <row r="2" customFormat="false" ht="18" hidden="false" customHeight="true" outlineLevel="0" collapsed="false">
      <c r="A2" s="1"/>
      <c r="B2" s="1"/>
      <c r="C2" s="1"/>
      <c r="D2" s="1"/>
      <c r="E2" s="2" t="s">
        <v>78</v>
      </c>
      <c r="F2" s="1"/>
      <c r="G2" s="1"/>
      <c r="H2" s="1"/>
      <c r="I2" s="1"/>
    </row>
    <row r="3" customFormat="false" ht="18" hidden="false" customHeight="true" outlineLevel="0" collapsed="false">
      <c r="A3" s="1"/>
      <c r="B3" s="1"/>
      <c r="C3" s="1"/>
      <c r="D3" s="1"/>
      <c r="E3" s="3" t="s">
        <v>79</v>
      </c>
      <c r="F3" s="1"/>
      <c r="G3" s="1"/>
      <c r="H3" s="1"/>
      <c r="I3" s="1"/>
    </row>
    <row r="4" customFormat="false" ht="15" hidden="false" customHeight="false" outlineLevel="0" collapsed="false">
      <c r="A4" s="1"/>
      <c r="B4" s="1"/>
      <c r="C4" s="1"/>
      <c r="D4" s="1"/>
      <c r="E4" s="1"/>
      <c r="F4" s="1"/>
      <c r="G4" s="1"/>
      <c r="H4" s="1"/>
      <c r="I4" s="1"/>
    </row>
    <row r="5" customFormat="false" ht="15" hidden="false" customHeight="false" outlineLevel="0" collapsed="false">
      <c r="A5" s="1"/>
      <c r="B5" s="1"/>
      <c r="C5" s="1"/>
      <c r="D5" s="1"/>
      <c r="E5" s="1"/>
      <c r="F5" s="1"/>
      <c r="G5" s="1"/>
      <c r="H5" s="1"/>
      <c r="I5" s="1"/>
    </row>
    <row r="6" customFormat="false" ht="15" hidden="false" customHeight="false" outlineLevel="0" collapsed="false">
      <c r="A6" s="1"/>
      <c r="B6" s="28" t="s">
        <v>80</v>
      </c>
      <c r="C6" s="1"/>
      <c r="D6" s="1"/>
      <c r="E6" s="1"/>
      <c r="F6" s="1"/>
      <c r="G6" s="1"/>
      <c r="H6" s="1"/>
      <c r="I6" s="1"/>
    </row>
    <row r="7" customFormat="false" ht="15" hidden="false" customHeight="false" outlineLevel="0" collapsed="false">
      <c r="A7" s="1"/>
      <c r="B7" s="29" t="s">
        <v>81</v>
      </c>
      <c r="C7" s="30" t="n">
        <v>89900</v>
      </c>
      <c r="D7" s="1"/>
      <c r="E7" s="1"/>
      <c r="F7" s="3" t="s">
        <v>82</v>
      </c>
      <c r="G7" s="1"/>
      <c r="H7" s="1"/>
      <c r="I7" s="1"/>
    </row>
    <row r="8" customFormat="false" ht="15" hidden="false" customHeight="false" outlineLevel="0" collapsed="false">
      <c r="A8" s="1"/>
      <c r="B8" s="29" t="s">
        <v>83</v>
      </c>
      <c r="C8" s="30" t="n">
        <v>25000</v>
      </c>
      <c r="D8" s="1"/>
      <c r="E8" s="1"/>
      <c r="F8" s="3" t="s">
        <v>84</v>
      </c>
      <c r="G8" s="1"/>
      <c r="H8" s="1"/>
      <c r="I8" s="1"/>
    </row>
    <row r="9" customFormat="false" ht="15" hidden="false" customHeight="false" outlineLevel="0" collapsed="false">
      <c r="A9" s="1"/>
      <c r="B9" s="29" t="s">
        <v>85</v>
      </c>
      <c r="C9" s="30" t="n">
        <v>15000</v>
      </c>
      <c r="D9" s="1"/>
      <c r="E9" s="1"/>
      <c r="F9" s="3" t="s">
        <v>86</v>
      </c>
      <c r="G9" s="1"/>
      <c r="H9" s="1"/>
      <c r="I9" s="1"/>
    </row>
    <row r="10" customFormat="false" ht="15" hidden="false" customHeight="false" outlineLevel="0" collapsed="false">
      <c r="A10" s="1"/>
      <c r="B10" s="29" t="s">
        <v>87</v>
      </c>
      <c r="C10" s="30" t="n">
        <v>15000</v>
      </c>
      <c r="D10" s="1"/>
      <c r="E10" s="1"/>
      <c r="F10" s="3" t="s">
        <v>88</v>
      </c>
      <c r="G10" s="1"/>
      <c r="H10" s="1"/>
      <c r="I10" s="1"/>
    </row>
    <row r="11" customFormat="false" ht="15" hidden="false" customHeight="false" outlineLevel="0" collapsed="false">
      <c r="A11" s="1"/>
      <c r="B11" s="29" t="s">
        <v>89</v>
      </c>
      <c r="C11" s="30" t="n">
        <v>20000</v>
      </c>
      <c r="D11" s="1"/>
      <c r="E11" s="1"/>
      <c r="F11" s="3" t="s">
        <v>90</v>
      </c>
      <c r="G11" s="1"/>
      <c r="H11" s="1"/>
      <c r="I11" s="1"/>
    </row>
    <row r="12" customFormat="false" ht="15" hidden="false" customHeight="false" outlineLevel="0" collapsed="false">
      <c r="A12" s="1"/>
      <c r="B12" s="29" t="s">
        <v>91</v>
      </c>
      <c r="C12" s="31" t="n">
        <v>0.05</v>
      </c>
      <c r="D12" s="1"/>
      <c r="E12" s="1"/>
      <c r="F12" s="3" t="s">
        <v>92</v>
      </c>
      <c r="G12" s="1"/>
      <c r="H12" s="1"/>
      <c r="I12" s="1"/>
    </row>
    <row r="13" customFormat="false" ht="15" hidden="false" customHeight="false" outlineLevel="0" collapsed="false">
      <c r="A13" s="1"/>
      <c r="B13" s="1"/>
      <c r="C13" s="1"/>
      <c r="D13" s="1"/>
      <c r="E13" s="1"/>
      <c r="F13" s="1"/>
      <c r="G13" s="1"/>
      <c r="H13" s="1"/>
      <c r="I13" s="1"/>
    </row>
    <row r="14" customFormat="false" ht="15" hidden="false" customHeight="false" outlineLevel="0" collapsed="false">
      <c r="A14" s="1"/>
      <c r="B14" s="1"/>
      <c r="C14" s="1"/>
      <c r="D14" s="1"/>
      <c r="E14" s="1"/>
      <c r="F14" s="1"/>
      <c r="G14" s="1"/>
      <c r="H14" s="1"/>
      <c r="I14" s="1"/>
    </row>
    <row r="15" customFormat="false" ht="15" hidden="false" customHeight="false" outlineLevel="0" collapsed="false">
      <c r="A15" s="1"/>
      <c r="B15" s="28" t="s">
        <v>93</v>
      </c>
      <c r="C15" s="1"/>
      <c r="D15" s="1"/>
      <c r="E15" s="1"/>
      <c r="F15" s="1"/>
      <c r="G15" s="1"/>
      <c r="H15" s="1"/>
      <c r="I15" s="1"/>
    </row>
    <row r="16" customFormat="false" ht="15" hidden="false" customHeight="false" outlineLevel="0" collapsed="false">
      <c r="A16" s="1"/>
      <c r="B16" s="32" t="s">
        <v>94</v>
      </c>
      <c r="C16" s="33" t="n">
        <v>0.7</v>
      </c>
      <c r="D16" s="33" t="n">
        <v>0.75</v>
      </c>
      <c r="E16" s="33" t="n">
        <v>0.8</v>
      </c>
      <c r="F16" s="1"/>
      <c r="G16" s="1"/>
      <c r="H16" s="1"/>
      <c r="I16" s="1"/>
    </row>
    <row r="17" customFormat="false" ht="15" hidden="false" customHeight="false" outlineLevel="0" collapsed="false">
      <c r="A17" s="1"/>
      <c r="B17" s="29" t="s">
        <v>95</v>
      </c>
      <c r="C17" s="34" t="n">
        <f aca="false">100*C16</f>
        <v>70</v>
      </c>
      <c r="D17" s="34" t="n">
        <f aca="false">100*D16</f>
        <v>75</v>
      </c>
      <c r="E17" s="34" t="n">
        <f aca="false">100*E16</f>
        <v>80</v>
      </c>
      <c r="F17" s="1"/>
      <c r="G17" s="1"/>
      <c r="H17" s="1"/>
      <c r="I17" s="1"/>
    </row>
    <row r="18" customFormat="false" ht="15" hidden="false" customHeight="false" outlineLevel="0" collapsed="false">
      <c r="A18" s="1"/>
      <c r="B18" s="29" t="s">
        <v>96</v>
      </c>
      <c r="C18" s="35" t="n">
        <f aca="false">C17*$C$7</f>
        <v>6293000</v>
      </c>
      <c r="D18" s="35" t="n">
        <f aca="false">D17*$C$7</f>
        <v>6742500</v>
      </c>
      <c r="E18" s="35" t="n">
        <f aca="false">E17*$C$7</f>
        <v>7192000</v>
      </c>
      <c r="F18" s="1"/>
      <c r="G18" s="1"/>
      <c r="H18" s="1"/>
      <c r="I18" s="1"/>
    </row>
    <row r="19" customFormat="false" ht="15" hidden="false" customHeight="false" outlineLevel="0" collapsed="false">
      <c r="A19" s="1"/>
      <c r="B19" s="29" t="s">
        <v>97</v>
      </c>
      <c r="C19" s="36" t="n">
        <f aca="false">C17*$C$8</f>
        <v>1750000</v>
      </c>
      <c r="D19" s="36" t="n">
        <f aca="false">D17*$C$8</f>
        <v>1875000</v>
      </c>
      <c r="E19" s="36" t="n">
        <f aca="false">E17*$C$8</f>
        <v>2000000</v>
      </c>
      <c r="F19" s="1"/>
      <c r="G19" s="1"/>
      <c r="H19" s="1"/>
      <c r="I19" s="1"/>
    </row>
    <row r="20" customFormat="false" ht="15" hidden="false" customHeight="false" outlineLevel="0" collapsed="false">
      <c r="A20" s="1"/>
      <c r="B20" s="29" t="s">
        <v>98</v>
      </c>
      <c r="C20" s="35" t="n">
        <f aca="false">100*$C$9</f>
        <v>1500000</v>
      </c>
      <c r="D20" s="35" t="n">
        <f aca="false">100*$C$9</f>
        <v>1500000</v>
      </c>
      <c r="E20" s="35" t="n">
        <f aca="false">100*$C$9</f>
        <v>1500000</v>
      </c>
      <c r="F20" s="1"/>
      <c r="G20" s="1"/>
      <c r="H20" s="1"/>
      <c r="I20" s="1"/>
    </row>
    <row r="21" customFormat="false" ht="15" hidden="false" customHeight="false" outlineLevel="0" collapsed="false">
      <c r="A21" s="1"/>
      <c r="B21" s="29" t="s">
        <v>99</v>
      </c>
      <c r="C21" s="36" t="n">
        <f aca="false">(100-C17)*$C$10</f>
        <v>450000</v>
      </c>
      <c r="D21" s="36" t="n">
        <f aca="false">(100-D17)*$C$10</f>
        <v>375000</v>
      </c>
      <c r="E21" s="36" t="n">
        <f aca="false">(100-E17)*$C$10</f>
        <v>300000</v>
      </c>
      <c r="F21" s="1"/>
      <c r="G21" s="1"/>
      <c r="H21" s="1"/>
      <c r="I21" s="1"/>
    </row>
    <row r="22" customFormat="false" ht="15" hidden="false" customHeight="false" outlineLevel="0" collapsed="false">
      <c r="A22" s="1"/>
      <c r="B22" s="29" t="s">
        <v>100</v>
      </c>
      <c r="C22" s="35" t="n">
        <f aca="false">100*$C$11</f>
        <v>2000000</v>
      </c>
      <c r="D22" s="35" t="n">
        <f aca="false">100*$C$11</f>
        <v>2000000</v>
      </c>
      <c r="E22" s="35" t="n">
        <f aca="false">100*$C$11</f>
        <v>2000000</v>
      </c>
      <c r="F22" s="1"/>
      <c r="G22" s="1"/>
      <c r="H22" s="1"/>
      <c r="I22" s="1"/>
    </row>
    <row r="23" customFormat="false" ht="15" hidden="false" customHeight="false" outlineLevel="0" collapsed="false">
      <c r="A23" s="1"/>
      <c r="B23" s="29" t="s">
        <v>101</v>
      </c>
      <c r="C23" s="36" t="n">
        <f aca="false">C17*($C$7*$C$12)</f>
        <v>314650</v>
      </c>
      <c r="D23" s="36" t="n">
        <f aca="false">D17*($C$7*$C$12)</f>
        <v>337125</v>
      </c>
      <c r="E23" s="36" t="n">
        <f aca="false">E17*($C$7*$C$12)</f>
        <v>359600</v>
      </c>
      <c r="F23" s="1"/>
      <c r="G23" s="1"/>
      <c r="H23" s="1"/>
      <c r="I23" s="1"/>
    </row>
    <row r="24" customFormat="false" ht="15" hidden="false" customHeight="false" outlineLevel="0" collapsed="false">
      <c r="A24" s="1"/>
      <c r="B24" s="32" t="s">
        <v>102</v>
      </c>
      <c r="C24" s="37" t="n">
        <f aca="false">C18-C19-C20-C21-C22-C23</f>
        <v>278350</v>
      </c>
      <c r="D24" s="37" t="n">
        <f aca="false">D18-D19-D20-D21-D22-D23</f>
        <v>655375</v>
      </c>
      <c r="E24" s="37" t="n">
        <f aca="false">E18-E19-E20-E21-E22-E23</f>
        <v>1032400</v>
      </c>
      <c r="F24" s="1"/>
      <c r="G24" s="1"/>
      <c r="H24" s="1"/>
      <c r="I24" s="1"/>
    </row>
    <row r="25" customFormat="false" ht="15" hidden="false" customHeight="false" outlineLevel="0" collapsed="false">
      <c r="A25" s="1"/>
      <c r="B25" s="32" t="s">
        <v>103</v>
      </c>
      <c r="C25" s="38" t="n">
        <f aca="false">IF(C18=0,0,C24/C18)</f>
        <v>0.0442316860003178</v>
      </c>
      <c r="D25" s="38" t="n">
        <f aca="false">IF(D18=0,0,D24/D18)</f>
        <v>0.0972005932517612</v>
      </c>
      <c r="E25" s="38" t="n">
        <f aca="false">IF(E18=0,0,E24/E18)</f>
        <v>0.143548387096774</v>
      </c>
      <c r="F25" s="1"/>
      <c r="G25" s="1"/>
      <c r="H25" s="1"/>
      <c r="I25" s="1"/>
    </row>
    <row r="26" customFormat="false" ht="15" hidden="false" customHeight="false" outlineLevel="0" collapsed="false">
      <c r="A26" s="1"/>
      <c r="B26" s="29" t="s">
        <v>104</v>
      </c>
      <c r="C26" s="39" t="n">
        <f aca="false">C24/100</f>
        <v>2783.5</v>
      </c>
      <c r="D26" s="39" t="n">
        <f aca="false">D24/100</f>
        <v>6553.75</v>
      </c>
      <c r="E26" s="39" t="n">
        <f aca="false">E24/100</f>
        <v>10324</v>
      </c>
      <c r="F26" s="1"/>
      <c r="G26" s="1"/>
      <c r="H26" s="1"/>
      <c r="I26" s="1"/>
    </row>
    <row r="27" customFormat="false" ht="15" hidden="false" customHeight="false" outlineLevel="0" collapsed="false">
      <c r="A27" s="1"/>
      <c r="B27" s="32" t="s">
        <v>105</v>
      </c>
      <c r="C27" s="40" t="str">
        <f aca="false">IF(C25&gt;=0.25,"CUMPLE","NO CUMPLE")</f>
        <v>NO CUMPLE</v>
      </c>
      <c r="D27" s="40" t="str">
        <f aca="false">IF(D25&gt;=0.25,"CUMPLE","NO CUMPLE")</f>
        <v>NO CUMPLE</v>
      </c>
      <c r="E27" s="40" t="str">
        <f aca="false">IF(E25&gt;=0.25,"CUMPLE","NO CUMPLE")</f>
        <v>NO CUMPLE</v>
      </c>
      <c r="F27" s="1"/>
      <c r="G27" s="1"/>
      <c r="H27" s="1"/>
      <c r="I27" s="1"/>
    </row>
    <row r="28" customFormat="false" ht="15" hidden="false" customHeight="false" outlineLevel="0" collapsed="false">
      <c r="A28" s="1"/>
      <c r="B28" s="1"/>
      <c r="C28" s="1"/>
      <c r="D28" s="1"/>
      <c r="E28" s="1"/>
      <c r="F28" s="1"/>
      <c r="G28" s="1"/>
      <c r="H28" s="1"/>
      <c r="I28" s="1"/>
    </row>
    <row r="29" customFormat="false" ht="15" hidden="false" customHeight="false" outlineLevel="0" collapsed="false">
      <c r="A29" s="1"/>
      <c r="B29" s="3" t="s">
        <v>106</v>
      </c>
      <c r="C29" s="1"/>
      <c r="D29" s="1"/>
      <c r="E29" s="1"/>
      <c r="F29" s="1"/>
      <c r="G29" s="1"/>
      <c r="H29" s="1"/>
      <c r="I29" s="1"/>
    </row>
    <row r="30" customFormat="false" ht="15" hidden="false" customHeight="false" outlineLevel="0" collapsed="false">
      <c r="A30" s="1"/>
      <c r="B30" s="1"/>
      <c r="C30" s="1"/>
      <c r="D30" s="1"/>
      <c r="E30" s="1"/>
      <c r="F30" s="1"/>
      <c r="G30" s="1"/>
      <c r="H30" s="1"/>
      <c r="I30" s="1"/>
    </row>
    <row r="31" customFormat="false" ht="15" hidden="false" customHeight="false" outlineLevel="0" collapsed="false">
      <c r="A31" s="1"/>
      <c r="B31" s="1"/>
      <c r="C31" s="1"/>
      <c r="D31" s="1"/>
      <c r="E31" s="1"/>
      <c r="F31" s="1"/>
      <c r="G31" s="1"/>
      <c r="H31" s="1"/>
      <c r="I31" s="1"/>
    </row>
    <row r="32" customFormat="false" ht="15" hidden="false" customHeight="false" outlineLevel="0" collapsed="false">
      <c r="A32" s="1"/>
      <c r="B32" s="1"/>
      <c r="C32" s="1"/>
      <c r="D32" s="1"/>
      <c r="E32" s="1"/>
      <c r="F32" s="1"/>
      <c r="G32" s="1"/>
      <c r="H32" s="1"/>
      <c r="I32" s="1"/>
    </row>
    <row r="33" customFormat="false" ht="15" hidden="false" customHeight="false" outlineLevel="0" collapsed="false">
      <c r="A33" s="1"/>
      <c r="B33" s="1"/>
      <c r="C33" s="1"/>
      <c r="D33" s="1"/>
      <c r="E33" s="1"/>
      <c r="F33" s="1"/>
      <c r="G33" s="1"/>
      <c r="H33" s="1"/>
      <c r="I33" s="1"/>
    </row>
    <row r="34" customFormat="false" ht="15" hidden="false" customHeight="false" outlineLevel="0" collapsed="false">
      <c r="A34" s="1"/>
      <c r="B34" s="1"/>
      <c r="C34" s="1"/>
      <c r="D34" s="1"/>
      <c r="E34" s="1"/>
      <c r="F34" s="1"/>
      <c r="G34" s="1"/>
      <c r="H34" s="1"/>
      <c r="I34" s="1"/>
    </row>
    <row r="35" customFormat="false" ht="15" hidden="false" customHeight="false" outlineLevel="0" collapsed="false">
      <c r="A35" s="1"/>
      <c r="B35" s="1"/>
      <c r="C35" s="1"/>
      <c r="D35" s="1"/>
      <c r="E35" s="1"/>
      <c r="F35" s="1"/>
      <c r="G35" s="1"/>
      <c r="H35" s="1"/>
      <c r="I35" s="1"/>
    </row>
    <row r="36" customFormat="false" ht="15" hidden="false" customHeight="false" outlineLevel="0" collapsed="false">
      <c r="A36" s="1"/>
      <c r="B36" s="1"/>
      <c r="C36" s="1"/>
      <c r="D36" s="1"/>
      <c r="E36" s="1"/>
      <c r="F36" s="1"/>
      <c r="G36" s="1"/>
      <c r="H36" s="1"/>
      <c r="I36" s="1"/>
    </row>
    <row r="37" customFormat="false" ht="15" hidden="false" customHeight="false" outlineLevel="0" collapsed="false">
      <c r="A37" s="1"/>
      <c r="B37" s="1"/>
      <c r="C37" s="1"/>
      <c r="D37" s="1"/>
      <c r="E37" s="1"/>
      <c r="F37" s="1"/>
      <c r="G37" s="1"/>
      <c r="H37" s="1"/>
      <c r="I37" s="1"/>
    </row>
    <row r="38" customFormat="false" ht="15" hidden="false" customHeight="false" outlineLevel="0" collapsed="false">
      <c r="A38" s="1"/>
      <c r="B38" s="1"/>
      <c r="C38" s="1"/>
      <c r="D38" s="1"/>
      <c r="E38" s="1"/>
      <c r="F38" s="1"/>
      <c r="G38" s="1"/>
      <c r="H38" s="1"/>
      <c r="I38" s="1"/>
    </row>
    <row r="39" customFormat="false" ht="15" hidden="false" customHeight="false" outlineLevel="0" collapsed="false">
      <c r="A39" s="1"/>
      <c r="B39" s="1"/>
      <c r="C39" s="1"/>
      <c r="D39" s="1"/>
      <c r="E39" s="1"/>
      <c r="F39" s="1"/>
      <c r="G39" s="1"/>
      <c r="H39" s="1"/>
      <c r="I39" s="1"/>
    </row>
  </sheetData>
  <conditionalFormatting sqref="C27:E27">
    <cfRule type="cellIs" priority="2" operator="equal" aboveAverage="0" equalAverage="0" bottom="0" percent="0" rank="0" text="" dxfId="6">
      <formula>"CUMPLE"</formula>
    </cfRule>
    <cfRule type="cellIs" priority="3" operator="equal" aboveAverage="0" equalAverage="0" bottom="0" percent="0" rank="0" text="" dxfId="12">
      <formula>"NO CUMPLE"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C4B6"/>
    <pageSetUpPr fitToPage="false"/>
  </sheetPr>
  <dimension ref="A1:F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26"/>
    <col collapsed="false" customWidth="true" hidden="false" outlineLevel="0" max="3" min="3" style="0" width="110"/>
  </cols>
  <sheetData>
    <row r="1" customFormat="false" ht="7.5" hidden="false" customHeight="true" outlineLevel="0" collapsed="false">
      <c r="A1" s="1"/>
      <c r="B1" s="1"/>
      <c r="C1" s="1"/>
      <c r="D1" s="1"/>
      <c r="E1" s="1"/>
      <c r="F1" s="1"/>
    </row>
    <row r="2" customFormat="false" ht="18" hidden="false" customHeight="true" outlineLevel="0" collapsed="false">
      <c r="A2" s="1"/>
      <c r="B2" s="1"/>
      <c r="C2" s="1"/>
      <c r="D2" s="1"/>
      <c r="E2" s="2" t="s">
        <v>107</v>
      </c>
      <c r="F2" s="1"/>
    </row>
    <row r="3" customFormat="false" ht="18" hidden="false" customHeight="true" outlineLevel="0" collapsed="false">
      <c r="A3" s="1"/>
      <c r="B3" s="1"/>
      <c r="C3" s="1"/>
      <c r="D3" s="1"/>
      <c r="E3" s="3" t="s">
        <v>108</v>
      </c>
      <c r="F3" s="1"/>
    </row>
    <row r="4" customFormat="false" ht="15" hidden="false" customHeight="false" outlineLevel="0" collapsed="false">
      <c r="A4" s="1"/>
      <c r="B4" s="1"/>
      <c r="C4" s="1"/>
      <c r="D4" s="1"/>
      <c r="E4" s="1"/>
      <c r="F4" s="1"/>
    </row>
    <row r="5" customFormat="false" ht="15" hidden="false" customHeight="false" outlineLevel="0" collapsed="false">
      <c r="A5" s="1"/>
      <c r="B5" s="1"/>
      <c r="C5" s="1"/>
      <c r="D5" s="1"/>
      <c r="E5" s="1"/>
      <c r="F5" s="1"/>
    </row>
    <row r="6" customFormat="false" ht="31.5" hidden="false" customHeight="true" outlineLevel="0" collapsed="false">
      <c r="A6" s="1"/>
      <c r="B6" s="41" t="s">
        <v>109</v>
      </c>
      <c r="C6" s="42" t="s">
        <v>110</v>
      </c>
      <c r="D6" s="1"/>
      <c r="E6" s="1"/>
      <c r="F6" s="1"/>
    </row>
    <row r="7" customFormat="false" ht="48" hidden="false" customHeight="true" outlineLevel="0" collapsed="false">
      <c r="A7" s="1"/>
      <c r="B7" s="43" t="s">
        <v>111</v>
      </c>
      <c r="C7" s="44" t="s">
        <v>112</v>
      </c>
      <c r="D7" s="1"/>
      <c r="E7" s="1"/>
      <c r="F7" s="1"/>
    </row>
    <row r="8" customFormat="false" ht="19.5" hidden="false" customHeight="true" outlineLevel="0" collapsed="false">
      <c r="A8" s="1"/>
      <c r="B8" s="41" t="s">
        <v>113</v>
      </c>
      <c r="C8" s="42" t="s">
        <v>114</v>
      </c>
      <c r="D8" s="1"/>
      <c r="E8" s="1"/>
      <c r="F8" s="1"/>
    </row>
    <row r="9" customFormat="false" ht="31.5" hidden="false" customHeight="true" outlineLevel="0" collapsed="false">
      <c r="A9" s="1"/>
      <c r="B9" s="43" t="s">
        <v>115</v>
      </c>
      <c r="C9" s="44" t="s">
        <v>116</v>
      </c>
      <c r="D9" s="1"/>
      <c r="E9" s="1"/>
      <c r="F9" s="1"/>
    </row>
    <row r="10" customFormat="false" ht="19.5" hidden="false" customHeight="true" outlineLevel="0" collapsed="false">
      <c r="A10" s="1"/>
      <c r="B10" s="41" t="s">
        <v>117</v>
      </c>
      <c r="C10" s="42" t="s">
        <v>118</v>
      </c>
      <c r="D10" s="1"/>
      <c r="E10" s="1"/>
      <c r="F10" s="1"/>
    </row>
    <row r="11" customFormat="false" ht="31.5" hidden="false" customHeight="true" outlineLevel="0" collapsed="false">
      <c r="A11" s="1"/>
      <c r="B11" s="43" t="s">
        <v>119</v>
      </c>
      <c r="C11" s="44" t="s">
        <v>120</v>
      </c>
      <c r="D11" s="1"/>
      <c r="E11" s="1"/>
      <c r="F11" s="1"/>
    </row>
    <row r="12" customFormat="false" ht="19.5" hidden="false" customHeight="true" outlineLevel="0" collapsed="false">
      <c r="A12" s="1"/>
      <c r="B12" s="41" t="s">
        <v>121</v>
      </c>
      <c r="C12" s="42" t="s">
        <v>122</v>
      </c>
      <c r="D12" s="1"/>
      <c r="E12" s="1"/>
      <c r="F12" s="1"/>
    </row>
    <row r="13" customFormat="false" ht="19.5" hidden="false" customHeight="true" outlineLevel="0" collapsed="false">
      <c r="A13" s="1"/>
      <c r="B13" s="43" t="s">
        <v>121</v>
      </c>
      <c r="C13" s="44" t="s">
        <v>123</v>
      </c>
      <c r="D13" s="1"/>
      <c r="E13" s="1"/>
      <c r="F13" s="1"/>
    </row>
    <row r="14" customFormat="false" ht="19.5" hidden="false" customHeight="true" outlineLevel="0" collapsed="false">
      <c r="A14" s="1"/>
      <c r="B14" s="41" t="s">
        <v>121</v>
      </c>
      <c r="C14" s="42" t="s">
        <v>124</v>
      </c>
      <c r="D14" s="1"/>
      <c r="E14" s="1"/>
      <c r="F14" s="1"/>
    </row>
    <row r="15" customFormat="false" ht="31.5" hidden="false" customHeight="true" outlineLevel="0" collapsed="false">
      <c r="A15" s="1"/>
      <c r="B15" s="43" t="s">
        <v>125</v>
      </c>
      <c r="C15" s="44" t="s">
        <v>126</v>
      </c>
      <c r="D15" s="1"/>
      <c r="E15" s="1"/>
      <c r="F15" s="1"/>
    </row>
    <row r="16" customFormat="false" ht="48" hidden="false" customHeight="true" outlineLevel="0" collapsed="false">
      <c r="A16" s="1"/>
      <c r="B16" s="41" t="s">
        <v>127</v>
      </c>
      <c r="C16" s="42" t="s">
        <v>128</v>
      </c>
      <c r="D16" s="1"/>
      <c r="E16" s="1"/>
      <c r="F16" s="1"/>
    </row>
    <row r="17" customFormat="false" ht="31.5" hidden="false" customHeight="true" outlineLevel="0" collapsed="false">
      <c r="A17" s="1"/>
      <c r="B17" s="43" t="s">
        <v>129</v>
      </c>
      <c r="C17" s="44" t="s">
        <v>130</v>
      </c>
      <c r="D17" s="1"/>
      <c r="E17" s="1"/>
      <c r="F17" s="1"/>
    </row>
    <row r="18" customFormat="false" ht="15" hidden="false" customHeight="false" outlineLevel="0" collapsed="false">
      <c r="A18" s="1"/>
      <c r="B18" s="1"/>
      <c r="C18" s="1"/>
      <c r="D18" s="1"/>
      <c r="E18" s="1"/>
      <c r="F18" s="1"/>
    </row>
    <row r="19" customFormat="false" ht="15" hidden="false" customHeight="false" outlineLevel="0" collapsed="false">
      <c r="A19" s="1"/>
      <c r="B19" s="1"/>
      <c r="C19" s="1"/>
      <c r="D19" s="1"/>
      <c r="E19" s="1"/>
      <c r="F19" s="1"/>
    </row>
    <row r="20" customFormat="false" ht="15" hidden="false" customHeight="false" outlineLevel="0" collapsed="false">
      <c r="A20" s="1"/>
      <c r="B20" s="1"/>
      <c r="C20" s="1"/>
      <c r="D20" s="1"/>
      <c r="E20" s="1"/>
      <c r="F20" s="1"/>
    </row>
    <row r="21" customFormat="false" ht="15" hidden="false" customHeight="false" outlineLevel="0" collapsed="false">
      <c r="A21" s="1"/>
      <c r="B21" s="1"/>
      <c r="C21" s="1"/>
      <c r="D21" s="1"/>
      <c r="E21" s="1"/>
      <c r="F21" s="1"/>
    </row>
    <row r="22" customFormat="false" ht="15" hidden="false" customHeight="false" outlineLevel="0" collapsed="false">
      <c r="A22" s="1"/>
      <c r="B22" s="1"/>
      <c r="C22" s="1"/>
      <c r="D22" s="1"/>
      <c r="E22" s="1"/>
      <c r="F22" s="1"/>
    </row>
    <row r="23" customFormat="false" ht="15" hidden="false" customHeight="false" outlineLevel="0" collapsed="false">
      <c r="A23" s="1"/>
      <c r="B23" s="1"/>
      <c r="C23" s="1"/>
      <c r="D23" s="1"/>
      <c r="E23" s="1"/>
      <c r="F23" s="1"/>
    </row>
    <row r="24" customFormat="false" ht="15" hidden="false" customHeight="false" outlineLevel="0" collapsed="false">
      <c r="A24" s="1"/>
      <c r="B24" s="1"/>
      <c r="C24" s="1"/>
      <c r="D24" s="1"/>
      <c r="E24" s="1"/>
      <c r="F24" s="1"/>
    </row>
    <row r="25" customFormat="false" ht="15" hidden="false" customHeight="false" outlineLevel="0" collapsed="false">
      <c r="A25" s="1"/>
      <c r="B25" s="1"/>
      <c r="C25" s="1"/>
      <c r="D25" s="1"/>
      <c r="E25" s="1"/>
      <c r="F25" s="1"/>
    </row>
    <row r="26" customFormat="false" ht="15" hidden="false" customHeight="false" outlineLevel="0" collapsed="false">
      <c r="A26" s="1"/>
      <c r="B26" s="1"/>
      <c r="C26" s="1"/>
      <c r="D26" s="1"/>
      <c r="E26" s="1"/>
      <c r="F26" s="1"/>
    </row>
    <row r="27" customFormat="false" ht="15" hidden="false" customHeight="false" outlineLevel="0" collapsed="false">
      <c r="A27" s="1"/>
      <c r="B27" s="1"/>
      <c r="C27" s="1"/>
      <c r="D27" s="1"/>
      <c r="E27" s="1"/>
      <c r="F27" s="1"/>
    </row>
    <row r="28" customFormat="false" ht="15" hidden="false" customHeight="false" outlineLevel="0" collapsed="false">
      <c r="A28" s="1"/>
      <c r="B28" s="1"/>
      <c r="C28" s="1"/>
      <c r="D28" s="1"/>
      <c r="E28" s="1"/>
      <c r="F28" s="1"/>
    </row>
    <row r="29" customFormat="false" ht="15" hidden="false" customHeight="false" outlineLevel="0" collapsed="false">
      <c r="A29" s="1"/>
      <c r="B29" s="1"/>
      <c r="C29" s="1"/>
      <c r="D29" s="1"/>
      <c r="E29" s="1"/>
      <c r="F29" s="1"/>
    </row>
    <row r="30" customFormat="false" ht="15" hidden="false" customHeight="false" outlineLevel="0" collapsed="false">
      <c r="A30" s="1"/>
      <c r="B30" s="1"/>
      <c r="C30" s="1"/>
      <c r="D30" s="1"/>
      <c r="E30" s="1"/>
      <c r="F30" s="1"/>
    </row>
    <row r="31" customFormat="false" ht="15" hidden="false" customHeight="false" outlineLevel="0" collapsed="false">
      <c r="A31" s="1"/>
      <c r="B31" s="1"/>
      <c r="C31" s="1"/>
      <c r="D31" s="1"/>
      <c r="E31" s="1"/>
      <c r="F31" s="1"/>
    </row>
    <row r="32" customFormat="false" ht="15" hidden="false" customHeight="false" outlineLevel="0" collapsed="false">
      <c r="A32" s="1"/>
      <c r="B32" s="1"/>
      <c r="C32" s="1"/>
      <c r="D32" s="1"/>
      <c r="E32" s="1"/>
      <c r="F32" s="1"/>
    </row>
    <row r="33" customFormat="false" ht="15" hidden="false" customHeight="false" outlineLevel="0" collapsed="false">
      <c r="A33" s="1"/>
      <c r="B33" s="1"/>
      <c r="C33" s="1"/>
      <c r="D33" s="1"/>
      <c r="E33" s="1"/>
      <c r="F33" s="1"/>
    </row>
    <row r="34" customFormat="false" ht="15" hidden="false" customHeight="false" outlineLevel="0" collapsed="false">
      <c r="A34" s="1"/>
      <c r="B34" s="1"/>
      <c r="C34" s="1"/>
      <c r="D34" s="1"/>
      <c r="E34" s="1"/>
      <c r="F34" s="1"/>
    </row>
    <row r="35" customFormat="false" ht="15" hidden="false" customHeight="false" outlineLevel="0" collapsed="false">
      <c r="A35" s="1"/>
      <c r="B35" s="1"/>
      <c r="C35" s="1"/>
      <c r="D35" s="1"/>
      <c r="E35" s="1"/>
      <c r="F35" s="1"/>
    </row>
    <row r="36" customFormat="false" ht="15" hidden="false" customHeight="false" outlineLevel="0" collapsed="false">
      <c r="A36" s="1"/>
      <c r="B36" s="1"/>
      <c r="C36" s="1"/>
      <c r="D36" s="1"/>
      <c r="E36" s="1"/>
      <c r="F36" s="1"/>
    </row>
    <row r="37" customFormat="false" ht="15" hidden="false" customHeight="false" outlineLevel="0" collapsed="false">
      <c r="A37" s="1"/>
      <c r="B37" s="1"/>
      <c r="C37" s="1"/>
      <c r="D37" s="1"/>
      <c r="E37" s="1"/>
      <c r="F37" s="1"/>
    </row>
    <row r="38" customFormat="false" ht="15" hidden="false" customHeight="false" outlineLevel="0" collapsed="false">
      <c r="A38" s="1"/>
      <c r="B38" s="1"/>
      <c r="C38" s="1"/>
      <c r="D38" s="1"/>
      <c r="E38" s="1"/>
      <c r="F38" s="1"/>
    </row>
    <row r="39" customFormat="false" ht="15" hidden="false" customHeight="false" outlineLevel="0" collapsed="false">
      <c r="A39" s="1"/>
      <c r="B39" s="1"/>
      <c r="C39" s="1"/>
      <c r="D39" s="1"/>
      <c r="E39" s="1"/>
      <c r="F39" s="1"/>
    </row>
    <row r="40" customFormat="false" ht="15" hidden="false" customHeight="false" outlineLevel="0" collapsed="false">
      <c r="A40" s="1"/>
      <c r="B40" s="1"/>
      <c r="C40" s="1"/>
      <c r="D40" s="1"/>
      <c r="E40" s="1"/>
      <c r="F40" s="1"/>
    </row>
    <row r="41" customFormat="false" ht="15" hidden="false" customHeight="false" outlineLevel="0" collapsed="false">
      <c r="A41" s="1"/>
      <c r="B41" s="1"/>
      <c r="C41" s="1"/>
      <c r="D41" s="1"/>
      <c r="E41" s="1"/>
      <c r="F41" s="1"/>
    </row>
    <row r="42" customFormat="false" ht="15" hidden="false" customHeight="false" outlineLevel="0" collapsed="false">
      <c r="A42" s="1"/>
      <c r="B42" s="1"/>
      <c r="C42" s="1"/>
      <c r="D42" s="1"/>
      <c r="E42" s="1"/>
      <c r="F42" s="1"/>
    </row>
    <row r="43" customFormat="false" ht="15" hidden="false" customHeight="false" outlineLevel="0" collapsed="false">
      <c r="A43" s="1"/>
      <c r="B43" s="1"/>
      <c r="C43" s="1"/>
      <c r="D43" s="1"/>
      <c r="E43" s="1"/>
      <c r="F43" s="1"/>
    </row>
    <row r="44" customFormat="false" ht="15" hidden="false" customHeight="false" outlineLevel="0" collapsed="false">
      <c r="A44" s="1"/>
      <c r="B44" s="1"/>
      <c r="C44" s="1"/>
      <c r="D44" s="1"/>
      <c r="E44" s="1"/>
      <c r="F44" s="1"/>
    </row>
    <row r="45" customFormat="false" ht="15" hidden="false" customHeight="false" outlineLevel="0" collapsed="false">
      <c r="A45" s="1"/>
      <c r="B45" s="1"/>
      <c r="C45" s="1"/>
      <c r="D45" s="1"/>
      <c r="E45" s="1"/>
      <c r="F45" s="1"/>
    </row>
    <row r="46" customFormat="false" ht="15" hidden="false" customHeight="false" outlineLevel="0" collapsed="false">
      <c r="A46" s="1"/>
      <c r="B46" s="1"/>
      <c r="C46" s="1"/>
      <c r="D46" s="1"/>
      <c r="E46" s="1"/>
      <c r="F46" s="1"/>
    </row>
    <row r="47" customFormat="false" ht="15" hidden="false" customHeight="false" outlineLevel="0" collapsed="false">
      <c r="A47" s="1"/>
      <c r="B47" s="1"/>
      <c r="C47" s="1"/>
      <c r="D47" s="1"/>
      <c r="E47" s="1"/>
      <c r="F47" s="1"/>
    </row>
    <row r="48" customFormat="false" ht="15" hidden="false" customHeight="false" outlineLevel="0" collapsed="false">
      <c r="A48" s="1"/>
      <c r="B48" s="1"/>
      <c r="C48" s="1"/>
      <c r="D48" s="1"/>
      <c r="E48" s="1"/>
      <c r="F48" s="1"/>
    </row>
    <row r="49" customFormat="false" ht="15" hidden="false" customHeight="false" outlineLevel="0" collapsed="false">
      <c r="A49" s="1"/>
      <c r="B49" s="1"/>
      <c r="C49" s="1"/>
      <c r="D49" s="1"/>
      <c r="E49" s="1"/>
      <c r="F49" s="1"/>
    </row>
    <row r="50" customFormat="false" ht="15" hidden="false" customHeight="false" outlineLevel="0" collapsed="false">
      <c r="A50" s="1"/>
      <c r="B50" s="1"/>
      <c r="C50" s="1"/>
      <c r="D50" s="1"/>
      <c r="E50" s="1"/>
      <c r="F50" s="1"/>
    </row>
    <row r="51" customFormat="false" ht="15" hidden="false" customHeight="false" outlineLevel="0" collapsed="false">
      <c r="A51" s="1"/>
      <c r="B51" s="1"/>
      <c r="C51" s="1"/>
      <c r="D51" s="1"/>
      <c r="E51" s="1"/>
      <c r="F51" s="1"/>
    </row>
    <row r="52" customFormat="false" ht="15" hidden="false" customHeight="false" outlineLevel="0" collapsed="false">
      <c r="A52" s="1"/>
      <c r="B52" s="1"/>
      <c r="C52" s="1"/>
      <c r="D52" s="1"/>
      <c r="E52" s="1"/>
      <c r="F52" s="1"/>
    </row>
    <row r="53" customFormat="false" ht="15" hidden="false" customHeight="false" outlineLevel="0" collapsed="false">
      <c r="A53" s="1"/>
      <c r="B53" s="1"/>
      <c r="C53" s="1"/>
      <c r="D53" s="1"/>
      <c r="E53" s="1"/>
      <c r="F53" s="1"/>
    </row>
    <row r="54" customFormat="false" ht="15" hidden="false" customHeight="false" outlineLevel="0" collapsed="false">
      <c r="A54" s="1"/>
      <c r="B54" s="1"/>
      <c r="C54" s="1"/>
      <c r="D54" s="1"/>
      <c r="E54" s="1"/>
      <c r="F54" s="1"/>
    </row>
    <row r="55" customFormat="false" ht="15" hidden="false" customHeight="false" outlineLevel="0" collapsed="false">
      <c r="A55" s="1"/>
      <c r="B55" s="1"/>
      <c r="C55" s="1"/>
      <c r="D55" s="1"/>
      <c r="E55" s="1"/>
      <c r="F55" s="1"/>
    </row>
    <row r="56" customFormat="false" ht="15" hidden="false" customHeight="false" outlineLevel="0" collapsed="false">
      <c r="A56" s="1"/>
      <c r="B56" s="1"/>
      <c r="C56" s="1"/>
      <c r="D56" s="1"/>
      <c r="E56" s="1"/>
      <c r="F56" s="1"/>
    </row>
    <row r="57" customFormat="false" ht="15" hidden="false" customHeight="false" outlineLevel="0" collapsed="false">
      <c r="A57" s="1"/>
      <c r="B57" s="1"/>
      <c r="C57" s="1"/>
      <c r="D57" s="1"/>
      <c r="E57" s="1"/>
      <c r="F57" s="1"/>
    </row>
    <row r="58" customFormat="false" ht="15" hidden="false" customHeight="false" outlineLevel="0" collapsed="false">
      <c r="A58" s="1"/>
      <c r="B58" s="1"/>
      <c r="C58" s="1"/>
      <c r="D58" s="1"/>
      <c r="E58" s="1"/>
      <c r="F58" s="1"/>
    </row>
    <row r="59" customFormat="false" ht="15" hidden="false" customHeight="false" outlineLevel="0" collapsed="false">
      <c r="A59" s="1"/>
      <c r="B59" s="1"/>
      <c r="C59" s="1"/>
      <c r="D59" s="1"/>
      <c r="E59" s="1"/>
      <c r="F59" s="1"/>
    </row>
    <row r="60" customFormat="false" ht="15" hidden="false" customHeight="false" outlineLevel="0" collapsed="false">
      <c r="A60" s="1"/>
      <c r="B60" s="1"/>
      <c r="C60" s="1"/>
      <c r="D60" s="1"/>
      <c r="E60" s="1"/>
      <c r="F60" s="1"/>
    </row>
    <row r="61" customFormat="false" ht="15" hidden="false" customHeight="false" outlineLevel="0" collapsed="false">
      <c r="A61" s="1"/>
      <c r="B61" s="1"/>
      <c r="C61" s="1"/>
      <c r="D61" s="1"/>
      <c r="E61" s="1"/>
      <c r="F61" s="1"/>
    </row>
    <row r="62" customFormat="false" ht="15" hidden="false" customHeight="false" outlineLevel="0" collapsed="false">
      <c r="A62" s="1"/>
      <c r="B62" s="1"/>
      <c r="C62" s="1"/>
      <c r="D62" s="1"/>
      <c r="E62" s="1"/>
      <c r="F62" s="1"/>
    </row>
    <row r="63" customFormat="false" ht="15" hidden="false" customHeight="false" outlineLevel="0" collapsed="false">
      <c r="A63" s="1"/>
      <c r="B63" s="1"/>
      <c r="C63" s="1"/>
      <c r="D63" s="1"/>
      <c r="E63" s="1"/>
      <c r="F63" s="1"/>
    </row>
    <row r="64" customFormat="false" ht="15" hidden="false" customHeight="false" outlineLevel="0" collapsed="false">
      <c r="A64" s="1"/>
      <c r="B64" s="1"/>
      <c r="C64" s="1"/>
      <c r="D64" s="1"/>
      <c r="E64" s="1"/>
      <c r="F64" s="1"/>
    </row>
    <row r="65" customFormat="false" ht="15" hidden="false" customHeight="false" outlineLevel="0" collapsed="false">
      <c r="A65" s="1"/>
      <c r="B65" s="1"/>
      <c r="C65" s="1"/>
      <c r="D65" s="1"/>
      <c r="E65" s="1"/>
      <c r="F65" s="1"/>
    </row>
    <row r="66" customFormat="false" ht="15" hidden="false" customHeight="false" outlineLevel="0" collapsed="false">
      <c r="A66" s="1"/>
      <c r="B66" s="1"/>
      <c r="C66" s="1"/>
      <c r="D66" s="1"/>
      <c r="E66" s="1"/>
      <c r="F66" s="1"/>
    </row>
    <row r="67" customFormat="false" ht="15" hidden="false" customHeight="false" outlineLevel="0" collapsed="false">
      <c r="A67" s="1"/>
      <c r="B67" s="1"/>
      <c r="C67" s="1"/>
      <c r="D67" s="1"/>
      <c r="E67" s="1"/>
      <c r="F67" s="1"/>
    </row>
    <row r="68" customFormat="false" ht="15" hidden="false" customHeight="false" outlineLevel="0" collapsed="false">
      <c r="A68" s="1"/>
      <c r="B68" s="1"/>
      <c r="C68" s="1"/>
      <c r="D68" s="1"/>
      <c r="E68" s="1"/>
      <c r="F68" s="1"/>
    </row>
    <row r="69" customFormat="false" ht="15" hidden="false" customHeight="false" outlineLevel="0" collapsed="false">
      <c r="A69" s="1"/>
      <c r="B69" s="1"/>
      <c r="C69" s="1"/>
      <c r="D69" s="1"/>
      <c r="E69" s="1"/>
      <c r="F69" s="1"/>
    </row>
    <row r="70" customFormat="false" ht="15" hidden="false" customHeight="false" outlineLevel="0" collapsed="false">
      <c r="A70" s="1"/>
      <c r="B70" s="1"/>
      <c r="C70" s="1"/>
      <c r="D70" s="1"/>
      <c r="E70" s="1"/>
      <c r="F70" s="1"/>
    </row>
    <row r="71" customFormat="false" ht="15" hidden="false" customHeight="false" outlineLevel="0" collapsed="false">
      <c r="A71" s="1"/>
      <c r="B71" s="1"/>
      <c r="C71" s="1"/>
      <c r="D71" s="1"/>
      <c r="E71" s="1"/>
      <c r="F71" s="1"/>
    </row>
    <row r="72" customFormat="false" ht="15" hidden="false" customHeight="false" outlineLevel="0" collapsed="false">
      <c r="A72" s="1"/>
      <c r="B72" s="1"/>
      <c r="C72" s="1"/>
      <c r="D72" s="1"/>
      <c r="E72" s="1"/>
      <c r="F72" s="1"/>
    </row>
    <row r="73" customFormat="false" ht="15" hidden="false" customHeight="false" outlineLevel="0" collapsed="false">
      <c r="A73" s="1"/>
      <c r="B73" s="1"/>
      <c r="C73" s="1"/>
      <c r="D73" s="1"/>
      <c r="E73" s="1"/>
      <c r="F73" s="1"/>
    </row>
    <row r="74" customFormat="false" ht="15" hidden="false" customHeight="false" outlineLevel="0" collapsed="false">
      <c r="A74" s="1"/>
      <c r="B74" s="1"/>
      <c r="C74" s="1"/>
      <c r="D74" s="1"/>
      <c r="E74" s="1"/>
      <c r="F74" s="1"/>
    </row>
    <row r="75" customFormat="false" ht="15" hidden="false" customHeight="false" outlineLevel="0" collapsed="false">
      <c r="A75" s="1"/>
      <c r="B75" s="1"/>
      <c r="C75" s="1"/>
      <c r="D75" s="1"/>
      <c r="E75" s="1"/>
      <c r="F75" s="1"/>
    </row>
    <row r="76" customFormat="false" ht="15" hidden="false" customHeight="false" outlineLevel="0" collapsed="false">
      <c r="A76" s="1"/>
      <c r="B76" s="1"/>
      <c r="C76" s="1"/>
      <c r="D76" s="1"/>
      <c r="E76" s="1"/>
      <c r="F76" s="1"/>
    </row>
    <row r="77" customFormat="false" ht="15" hidden="false" customHeight="false" outlineLevel="0" collapsed="false">
      <c r="A77" s="1"/>
      <c r="B77" s="1"/>
      <c r="C77" s="1"/>
      <c r="D77" s="1"/>
      <c r="E77" s="1"/>
      <c r="F77" s="1"/>
    </row>
    <row r="78" customFormat="false" ht="15" hidden="false" customHeight="false" outlineLevel="0" collapsed="false">
      <c r="A78" s="1"/>
      <c r="B78" s="1"/>
      <c r="C78" s="1"/>
      <c r="D78" s="1"/>
      <c r="E78" s="1"/>
      <c r="F78" s="1"/>
    </row>
    <row r="79" customFormat="false" ht="15" hidden="false" customHeight="false" outlineLevel="0" collapsed="false">
      <c r="A79" s="1"/>
      <c r="B79" s="1"/>
      <c r="C79" s="1"/>
      <c r="D79" s="1"/>
      <c r="E79" s="1"/>
      <c r="F79"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9A9A"/>
    <pageSetUpPr fitToPage="false"/>
  </sheetPr>
  <dimension ref="A1:H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2" style="0" width="24"/>
  </cols>
  <sheetData>
    <row r="1" customFormat="false" ht="7.5" hidden="false" customHeight="true" outlineLevel="0" collapsed="false">
      <c r="A1" s="1"/>
      <c r="B1" s="1"/>
      <c r="C1" s="1"/>
      <c r="D1" s="1"/>
      <c r="E1" s="1"/>
      <c r="F1" s="1"/>
      <c r="G1" s="1"/>
      <c r="H1" s="1"/>
    </row>
    <row r="2" customFormat="false" ht="15" hidden="false" customHeight="false" outlineLevel="0" collapsed="false">
      <c r="A2" s="1"/>
      <c r="B2" s="28" t="s">
        <v>131</v>
      </c>
      <c r="C2" s="28" t="s">
        <v>132</v>
      </c>
      <c r="D2" s="28" t="s">
        <v>133</v>
      </c>
      <c r="E2" s="28" t="s">
        <v>134</v>
      </c>
      <c r="F2" s="28" t="s">
        <v>20</v>
      </c>
      <c r="G2" s="1"/>
      <c r="H2" s="1"/>
    </row>
    <row r="3" customFormat="false" ht="15" hidden="false" customHeight="false" outlineLevel="0" collapsed="false">
      <c r="A3" s="1"/>
      <c r="B3" s="29" t="s">
        <v>135</v>
      </c>
      <c r="C3" s="29" t="s">
        <v>50</v>
      </c>
      <c r="D3" s="29" t="s">
        <v>63</v>
      </c>
      <c r="E3" s="29" t="s">
        <v>51</v>
      </c>
      <c r="F3" s="29" t="s">
        <v>64</v>
      </c>
      <c r="G3" s="1"/>
      <c r="H3" s="1"/>
    </row>
    <row r="4" customFormat="false" ht="15" hidden="false" customHeight="false" outlineLevel="0" collapsed="false">
      <c r="A4" s="1"/>
      <c r="B4" s="29" t="s">
        <v>34</v>
      </c>
      <c r="C4" s="29" t="s">
        <v>136</v>
      </c>
      <c r="D4" s="29" t="s">
        <v>137</v>
      </c>
      <c r="E4" s="29" t="s">
        <v>138</v>
      </c>
      <c r="F4" s="29" t="s">
        <v>31</v>
      </c>
      <c r="G4" s="1"/>
      <c r="H4" s="1"/>
    </row>
    <row r="5" customFormat="false" ht="15" hidden="false" customHeight="false" outlineLevel="0" collapsed="false">
      <c r="A5" s="1"/>
      <c r="B5" s="29" t="s">
        <v>139</v>
      </c>
      <c r="C5" s="1"/>
      <c r="D5" s="29" t="s">
        <v>140</v>
      </c>
      <c r="E5" s="29" t="s">
        <v>141</v>
      </c>
      <c r="F5" s="29" t="s">
        <v>142</v>
      </c>
      <c r="G5" s="1"/>
      <c r="H5" s="1"/>
    </row>
    <row r="6" customFormat="false" ht="15" hidden="false" customHeight="false" outlineLevel="0" collapsed="false">
      <c r="A6" s="1"/>
      <c r="B6" s="1"/>
      <c r="C6" s="1"/>
      <c r="D6" s="1"/>
      <c r="E6" s="1"/>
      <c r="F6" s="29" t="s">
        <v>143</v>
      </c>
      <c r="G6" s="1"/>
      <c r="H6" s="1"/>
    </row>
    <row r="7" customFormat="false" ht="15" hidden="false" customHeight="false" outlineLevel="0" collapsed="false">
      <c r="A7" s="1"/>
      <c r="B7" s="1"/>
      <c r="C7" s="1"/>
      <c r="D7" s="1"/>
      <c r="E7" s="1"/>
      <c r="F7" s="29" t="s">
        <v>144</v>
      </c>
      <c r="G7" s="1"/>
      <c r="H7" s="1"/>
    </row>
    <row r="8" customFormat="false" ht="15" hidden="false" customHeight="false" outlineLevel="0" collapsed="false">
      <c r="A8" s="1"/>
      <c r="B8" s="1"/>
      <c r="C8" s="1"/>
      <c r="D8" s="1"/>
      <c r="E8" s="1"/>
      <c r="F8" s="29" t="s">
        <v>145</v>
      </c>
      <c r="G8" s="1"/>
      <c r="H8" s="1"/>
    </row>
    <row r="9" customFormat="false" ht="15" hidden="false" customHeight="false" outlineLevel="0" collapsed="false">
      <c r="A9" s="1"/>
      <c r="B9" s="1"/>
      <c r="C9" s="1"/>
      <c r="D9" s="1"/>
      <c r="E9" s="1"/>
      <c r="F9" s="29" t="s">
        <v>146</v>
      </c>
      <c r="G9" s="1"/>
      <c r="H9" s="1"/>
    </row>
    <row r="10" customFormat="false" ht="15" hidden="false" customHeight="false" outlineLevel="0" collapsed="false">
      <c r="A10" s="1"/>
      <c r="B10" s="1"/>
      <c r="C10" s="1"/>
      <c r="D10" s="1"/>
      <c r="E10" s="1"/>
      <c r="F10" s="29" t="s">
        <v>147</v>
      </c>
      <c r="G10" s="1"/>
      <c r="H10" s="1"/>
    </row>
    <row r="11" customFormat="false" ht="15" hidden="false" customHeight="false" outlineLevel="0" collapsed="false">
      <c r="A11" s="1"/>
      <c r="B11" s="1"/>
      <c r="C11" s="1"/>
      <c r="D11" s="1"/>
      <c r="E11" s="1"/>
      <c r="F11" s="29" t="s">
        <v>148</v>
      </c>
      <c r="G11" s="1"/>
      <c r="H11" s="1"/>
    </row>
    <row r="12" customFormat="false" ht="15" hidden="false" customHeight="false" outlineLevel="0" collapsed="false">
      <c r="A12" s="1"/>
      <c r="B12" s="1"/>
      <c r="C12" s="1"/>
      <c r="D12" s="1"/>
      <c r="E12" s="1"/>
      <c r="F12" s="29" t="s">
        <v>149</v>
      </c>
      <c r="G12" s="1"/>
      <c r="H12" s="1"/>
    </row>
    <row r="13" customFormat="false" ht="15" hidden="false" customHeight="false" outlineLevel="0" collapsed="false">
      <c r="A13" s="1"/>
      <c r="B13" s="1"/>
      <c r="C13" s="1"/>
      <c r="D13" s="1"/>
      <c r="E13" s="1"/>
      <c r="F13" s="29" t="s">
        <v>150</v>
      </c>
      <c r="G13" s="1"/>
      <c r="H13" s="1"/>
    </row>
    <row r="14" customFormat="false" ht="15" hidden="false" customHeight="false" outlineLevel="0" collapsed="false">
      <c r="A14" s="1"/>
      <c r="B14" s="1"/>
      <c r="C14" s="1"/>
      <c r="D14" s="1"/>
      <c r="E14" s="1"/>
      <c r="F14" s="29" t="s">
        <v>151</v>
      </c>
      <c r="G14" s="1"/>
      <c r="H14" s="1"/>
    </row>
    <row r="15" customFormat="false" ht="15" hidden="false" customHeight="false" outlineLevel="0" collapsed="false">
      <c r="A15" s="1"/>
      <c r="B15" s="1"/>
      <c r="C15" s="1"/>
      <c r="D15" s="1"/>
      <c r="E15" s="1"/>
      <c r="F15" s="29" t="s">
        <v>152</v>
      </c>
      <c r="G15" s="1"/>
      <c r="H15" s="1"/>
    </row>
    <row r="16" customFormat="false" ht="15" hidden="false" customHeight="false" outlineLevel="0" collapsed="false">
      <c r="A16" s="1"/>
      <c r="B16" s="1"/>
      <c r="C16" s="1"/>
      <c r="D16" s="1"/>
      <c r="E16" s="1"/>
      <c r="F16" s="29" t="s">
        <v>153</v>
      </c>
      <c r="G16" s="1"/>
      <c r="H16" s="1"/>
    </row>
    <row r="17" customFormat="false" ht="15" hidden="false" customHeight="false" outlineLevel="0" collapsed="false">
      <c r="A17" s="1"/>
      <c r="B17" s="1"/>
      <c r="C17" s="1"/>
      <c r="D17" s="1"/>
      <c r="E17" s="1"/>
      <c r="F17" s="29" t="s">
        <v>154</v>
      </c>
      <c r="G17" s="1"/>
      <c r="H17" s="1"/>
    </row>
    <row r="18" customFormat="false" ht="15" hidden="false" customHeight="false" outlineLevel="0" collapsed="false">
      <c r="A18" s="1"/>
      <c r="B18" s="1"/>
      <c r="C18" s="1"/>
      <c r="D18" s="1"/>
      <c r="E18" s="1"/>
      <c r="F18" s="29" t="s">
        <v>155</v>
      </c>
      <c r="G18" s="1"/>
      <c r="H18" s="1"/>
    </row>
    <row r="19" customFormat="false" ht="15" hidden="false" customHeight="false" outlineLevel="0" collapsed="false">
      <c r="A19" s="1"/>
      <c r="B19" s="1"/>
      <c r="C19" s="1"/>
      <c r="D19" s="1"/>
      <c r="E19" s="1"/>
      <c r="F19" s="29" t="s">
        <v>156</v>
      </c>
      <c r="G19" s="1"/>
      <c r="H19" s="1"/>
    </row>
    <row r="20" customFormat="false" ht="15" hidden="false" customHeight="false" outlineLevel="0" collapsed="false">
      <c r="A20" s="1"/>
      <c r="B20" s="1"/>
      <c r="C20" s="1"/>
      <c r="D20" s="1"/>
      <c r="E20" s="1"/>
      <c r="F20" s="29" t="s">
        <v>157</v>
      </c>
      <c r="G20" s="1"/>
      <c r="H20" s="1"/>
    </row>
    <row r="21" customFormat="false" ht="15" hidden="false" customHeight="false" outlineLevel="0" collapsed="false">
      <c r="A21" s="1"/>
      <c r="B21" s="1"/>
      <c r="C21" s="1"/>
      <c r="D21" s="1"/>
      <c r="E21" s="1"/>
      <c r="F21" s="29" t="s">
        <v>158</v>
      </c>
      <c r="G21" s="1"/>
      <c r="H21" s="1"/>
    </row>
    <row r="22" customFormat="false" ht="15" hidden="false" customHeight="false" outlineLevel="0" collapsed="false">
      <c r="A22" s="1"/>
      <c r="B22" s="1"/>
      <c r="C22" s="1"/>
      <c r="D22" s="1"/>
      <c r="E22" s="1"/>
      <c r="F22" s="29" t="s">
        <v>159</v>
      </c>
      <c r="G22" s="1"/>
      <c r="H22" s="1"/>
    </row>
    <row r="23" customFormat="false" ht="15" hidden="false" customHeight="false" outlineLevel="0" collapsed="false">
      <c r="A23" s="1"/>
      <c r="B23" s="1"/>
      <c r="C23" s="1"/>
      <c r="D23" s="1"/>
      <c r="E23" s="1"/>
      <c r="F23" s="1"/>
      <c r="G23" s="1"/>
      <c r="H23" s="1"/>
    </row>
    <row r="24" customFormat="false" ht="15" hidden="false" customHeight="false" outlineLevel="0" collapsed="false">
      <c r="A24" s="1"/>
      <c r="B24" s="1"/>
      <c r="C24" s="1"/>
      <c r="D24" s="1"/>
      <c r="E24" s="1"/>
      <c r="F24" s="1"/>
      <c r="G24" s="1"/>
      <c r="H24" s="1"/>
    </row>
    <row r="25" customFormat="false" ht="15" hidden="false" customHeight="false" outlineLevel="0" collapsed="false">
      <c r="A25" s="1"/>
      <c r="B25" s="1"/>
      <c r="C25" s="1"/>
      <c r="D25" s="1"/>
      <c r="E25" s="1"/>
      <c r="F25" s="1"/>
      <c r="G25" s="1"/>
      <c r="H25" s="1"/>
    </row>
    <row r="26" customFormat="false" ht="15" hidden="false" customHeight="false" outlineLevel="0" collapsed="false">
      <c r="A26" s="1"/>
      <c r="B26" s="1"/>
      <c r="C26" s="1"/>
      <c r="D26" s="1"/>
      <c r="E26" s="1"/>
      <c r="F26" s="1"/>
      <c r="G26" s="1"/>
      <c r="H26" s="1"/>
    </row>
    <row r="27" customFormat="false" ht="15" hidden="false" customHeight="false" outlineLevel="0" collapsed="false">
      <c r="A27" s="1"/>
      <c r="B27" s="1"/>
      <c r="C27" s="1"/>
      <c r="D27" s="1"/>
      <c r="E27" s="1"/>
      <c r="F27" s="1"/>
      <c r="G27" s="1"/>
      <c r="H27" s="1"/>
    </row>
    <row r="28" customFormat="false" ht="15" hidden="false" customHeight="false" outlineLevel="0" collapsed="false">
      <c r="A28" s="1"/>
      <c r="B28" s="1"/>
      <c r="C28" s="1"/>
      <c r="D28" s="1"/>
      <c r="E28" s="1"/>
      <c r="F28" s="1"/>
      <c r="G28" s="1"/>
      <c r="H28" s="1"/>
    </row>
    <row r="29" customFormat="false" ht="15" hidden="false" customHeight="false" outlineLevel="0" collapsed="false">
      <c r="A29" s="1"/>
      <c r="B29" s="1"/>
      <c r="C29" s="1"/>
      <c r="D29" s="1"/>
      <c r="E29" s="1"/>
      <c r="F29" s="1"/>
      <c r="G29" s="1"/>
      <c r="H29" s="1"/>
    </row>
    <row r="30" customFormat="false" ht="15" hidden="false" customHeight="false" outlineLevel="0" collapsed="false">
      <c r="A30" s="1"/>
      <c r="B30" s="1"/>
      <c r="C30" s="1"/>
      <c r="D30" s="1"/>
      <c r="E30" s="1"/>
      <c r="F30" s="1"/>
      <c r="G30" s="1"/>
      <c r="H30" s="1"/>
    </row>
    <row r="31" customFormat="false" ht="15" hidden="false" customHeight="false" outlineLevel="0" collapsed="false">
      <c r="A31" s="1"/>
      <c r="B31" s="1"/>
      <c r="C31" s="1"/>
      <c r="D31" s="1"/>
      <c r="E31" s="1"/>
      <c r="F31" s="1"/>
      <c r="G31" s="1"/>
      <c r="H31" s="1"/>
    </row>
    <row r="32" customFormat="false" ht="15" hidden="false" customHeight="false" outlineLevel="0" collapsed="false">
      <c r="A32" s="1"/>
      <c r="B32" s="1"/>
      <c r="C32" s="1"/>
      <c r="D32" s="1"/>
      <c r="E32" s="1"/>
      <c r="F32" s="1"/>
      <c r="G32" s="1"/>
      <c r="H32" s="1"/>
    </row>
    <row r="33" customFormat="false" ht="15" hidden="false" customHeight="false" outlineLevel="0" collapsed="false">
      <c r="A33" s="1"/>
      <c r="B33" s="1"/>
      <c r="C33" s="1"/>
      <c r="D33" s="1"/>
      <c r="E33" s="1"/>
      <c r="F33" s="1"/>
      <c r="G33" s="1"/>
      <c r="H33" s="1"/>
    </row>
    <row r="34" customFormat="false" ht="15" hidden="false" customHeight="false" outlineLevel="0" collapsed="false">
      <c r="A34" s="1"/>
      <c r="B34" s="1"/>
      <c r="C34" s="1"/>
      <c r="D34" s="1"/>
      <c r="E34" s="1"/>
      <c r="F34" s="1"/>
      <c r="G34" s="1"/>
      <c r="H34" s="1"/>
    </row>
    <row r="35" customFormat="false" ht="15" hidden="false" customHeight="false" outlineLevel="0" collapsed="false">
      <c r="A35" s="1"/>
      <c r="B35" s="1"/>
      <c r="C35" s="1"/>
      <c r="D35" s="1"/>
      <c r="E35" s="1"/>
      <c r="F35" s="1"/>
      <c r="G35" s="1"/>
      <c r="H35" s="1"/>
    </row>
    <row r="36" customFormat="false" ht="15" hidden="false" customHeight="false" outlineLevel="0" collapsed="false">
      <c r="A36" s="1"/>
      <c r="B36" s="1"/>
      <c r="C36" s="1"/>
      <c r="D36" s="1"/>
      <c r="E36" s="1"/>
      <c r="F36" s="1"/>
      <c r="G36" s="1"/>
      <c r="H36" s="1"/>
    </row>
    <row r="37" customFormat="false" ht="15" hidden="false" customHeight="false" outlineLevel="0" collapsed="false">
      <c r="A37" s="1"/>
      <c r="B37" s="1"/>
      <c r="C37" s="1"/>
      <c r="D37" s="1"/>
      <c r="E37" s="1"/>
      <c r="F37" s="1"/>
      <c r="G37" s="1"/>
      <c r="H37" s="1"/>
    </row>
    <row r="38" customFormat="false" ht="15" hidden="false" customHeight="false" outlineLevel="0" collapsed="false">
      <c r="A38" s="1"/>
      <c r="B38" s="1"/>
      <c r="C38" s="1"/>
      <c r="D38" s="1"/>
      <c r="E38" s="1"/>
      <c r="F38" s="1"/>
      <c r="G38" s="1"/>
      <c r="H38" s="1"/>
    </row>
    <row r="39" customFormat="false" ht="15" hidden="false" customHeight="false" outlineLevel="0" collapsed="false">
      <c r="A39" s="1"/>
      <c r="B39" s="1"/>
      <c r="C39" s="1"/>
      <c r="D39" s="1"/>
      <c r="E39" s="1"/>
      <c r="F39" s="1"/>
      <c r="G39" s="1"/>
      <c r="H39"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2026-10-23T00:28:45Z</dcterms:created>
  <dc:creator>openpyxl</dc:creator>
  <dc:description/>
  <dc:language>en-US</dc:language>
  <cp:lastModifiedBy/>
  <dcterms:modified xsi:type="dcterms:W3CDTF">2026-10-23T00:28:47Z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